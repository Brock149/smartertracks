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<sst xmlns="http://schemas.openxmlformats.org/spreadsheetml/2006/main" count="408" uniqueCount="318">
  <si>
    <t xml:space="preserve">Tool &amp; Equipment Inventory - Will Coburn</t>
  </si>
  <si>
    <t xml:space="preserve">Estimated replacement value, compiled from photos of drawers, rolling cabinet, and loose items - September 2026 (tool-tag close-ups and Model/Serial columns added Sept 19, 2026)</t>
  </si>
  <si>
    <t xml:space="preserve">Drawer / Location</t>
  </si>
  <si>
    <t xml:space="preserve">Item</t>
  </si>
  <si>
    <t xml:space="preserve">Model No.</t>
  </si>
  <si>
    <t xml:space="preserve">Serial No.</t>
  </si>
  <si>
    <t xml:space="preserve">Qty</t>
  </si>
  <si>
    <t xml:space="preserve">Est. Unit Price</t>
  </si>
  <si>
    <t xml:space="preserve">Est. Extended Price</t>
  </si>
  <si>
    <t xml:space="preserve">Notes / Source</t>
  </si>
  <si>
    <t xml:space="preserve">Drawer 1 - Wrenches</t>
  </si>
  <si>
    <t xml:space="preserve">Craftsman combination wrenches, SAE/metric (approx 5/8in-1in, incl. 17mm)</t>
  </si>
  <si>
    <t xml:space="preserve">Estimated retail, mixed sizes</t>
  </si>
  <si>
    <t xml:space="preserve">Westward combination wrenches, large (approx 1-1/16in-1-5/16in)</t>
  </si>
  <si>
    <t xml:space="preserve">Estimated; Grainger-priced brand</t>
  </si>
  <si>
    <t xml:space="preserve">Ratcheting box-end wrench</t>
  </si>
  <si>
    <t xml:space="preserve">Estimated</t>
  </si>
  <si>
    <t xml:space="preserve">Drive ratchets, 3/8in and 1/2in</t>
  </si>
  <si>
    <t xml:space="preserve">Pittsburgh crowfoot wrench sets, SAE &amp; metric, 3/8in drive</t>
  </si>
  <si>
    <t xml:space="preserve">Estimated, sold as sets</t>
  </si>
  <si>
    <t xml:space="preserve">Long-nose pliers, blue-handled pliers, small combo wrench</t>
  </si>
  <si>
    <t xml:space="preserve">Estimated, mixed</t>
  </si>
  <si>
    <t xml:space="preserve">Torch head with brass valve</t>
  </si>
  <si>
    <t xml:space="preserve">Bit holder and red bit pack</t>
  </si>
  <si>
    <t xml:space="preserve">Yellow-handled screwdriver and wire brushes</t>
  </si>
  <si>
    <t xml:space="preserve">Swanson speed squares</t>
  </si>
  <si>
    <t xml:space="preserve">Air blow gun</t>
  </si>
  <si>
    <t xml:space="preserve">Threadlocker (2 bottles), lighter, scissors</t>
  </si>
  <si>
    <t xml:space="preserve">Subtotal - Drawer 1 - Wrenches</t>
  </si>
  <si>
    <t xml:space="preserve">Drawer 2 - Bits</t>
  </si>
  <si>
    <t xml:space="preserve">60pc tap and die set (gray case, SAE/metric/pipe)</t>
  </si>
  <si>
    <t xml:space="preserve">OMT 40pc SAE tap and die set (red case)</t>
  </si>
  <si>
    <t xml:space="preserve">SDS masonry/rotary hammer bits, assorted sizes</t>
  </si>
  <si>
    <t xml:space="preserve">Estimated, mixed sizes</t>
  </si>
  <si>
    <t xml:space="preserve">Extra-long SDS bit (clear tube)</t>
  </si>
  <si>
    <t xml:space="preserve">Hardpoint hammer drill bit (clear tube)</t>
  </si>
  <si>
    <t xml:space="preserve">Carbide core bit / small hole saw + 2 arbors</t>
  </si>
  <si>
    <t xml:space="preserve">Gold-coated (titanium) twist bits</t>
  </si>
  <si>
    <t xml:space="preserve">Estimated, approx 7 visible</t>
  </si>
  <si>
    <t xml:space="preserve">Cobalt 1/4in jobber bits, 10-pack</t>
  </si>
  <si>
    <t xml:space="preserve">Masonry bits, small (red/white striped)</t>
  </si>
  <si>
    <t xml:space="preserve">Estimated, set</t>
  </si>
  <si>
    <t xml:space="preserve">Spade bit (blue package)</t>
  </si>
  <si>
    <t xml:space="preserve">Reciprocating saw blades (red) + Diablo jig saw blade pack</t>
  </si>
  <si>
    <t xml:space="preserve">Unidentified flat silver tool + red cylinder</t>
  </si>
  <si>
    <t xml:space="preserve">Could not identify from photo - verify</t>
  </si>
  <si>
    <t xml:space="preserve">Hex key + red blister pack</t>
  </si>
  <si>
    <t xml:space="preserve">Subtotal - Drawer 2 - Bits</t>
  </si>
  <si>
    <t xml:space="preserve">Drawer 3 - Blades</t>
  </si>
  <si>
    <t xml:space="preserve">Milwaukee Torch thick-metal blades, 9in 10TPI, 5-pack</t>
  </si>
  <si>
    <t xml:space="preserve">Medium-metal blade, 12in, full contact</t>
  </si>
  <si>
    <t xml:space="preserve">Diablo Steel Demon carbide blades, 9in 10TPI, 3-pack</t>
  </si>
  <si>
    <t xml:space="preserve">Diablo bi-metal medium-metal blades, 9in, 5-pack</t>
  </si>
  <si>
    <t xml:space="preserve">Blade case (Milwaukee-labeled), full of white blades</t>
  </si>
  <si>
    <t xml:space="preserve">Contents not individually counted</t>
  </si>
  <si>
    <t xml:space="preserve">Blade case, full of thinner metal-cutting blades</t>
  </si>
  <si>
    <t xml:space="preserve">Blade case, nearly empty</t>
  </si>
  <si>
    <t xml:space="preserve">Loose demolition-style blade, well-used</t>
  </si>
  <si>
    <t xml:space="preserve">Subtotal - Drawer 3 - Blades</t>
  </si>
  <si>
    <t xml:space="preserve">Drawer 4 - Regulators &amp; Rigging</t>
  </si>
  <si>
    <t xml:space="preserve">Regulators (Harris/nitrogen) and loose gauges</t>
  </si>
  <si>
    <t xml:space="preserve">Estimated; approx 4 regulators + 10 gauges, biggest uncertainty in this drawer</t>
  </si>
  <si>
    <t xml:space="preserve">Refrigerant manifold gauges</t>
  </si>
  <si>
    <t xml:space="preserve">Eye bolts</t>
  </si>
  <si>
    <t xml:space="preserve">Shackles</t>
  </si>
  <si>
    <t xml:space="preserve">Pipe wrenches (2 Husky, 2 red offset hex) + large adjustable</t>
  </si>
  <si>
    <t xml:space="preserve">Chalk reels/chalk, Big Foot pouch, bolt cutters, locking clamp, hole saw</t>
  </si>
  <si>
    <t xml:space="preserve">Scrapers, pry bars, screwdriver, pipe reamer</t>
  </si>
  <si>
    <t xml:space="preserve">Subtotal - Drawer 4 - Regulators &amp; Rigging</t>
  </si>
  <si>
    <t xml:space="preserve">Drawer 5 - HVAC Fittings</t>
  </si>
  <si>
    <t xml:space="preserve">Nitrogen purge flowmeters + small purge cylinder</t>
  </si>
  <si>
    <t xml:space="preserve">Brass access fittings, couplers, valves</t>
  </si>
  <si>
    <t xml:space="preserve">Estimated, assorted lot</t>
  </si>
  <si>
    <t xml:space="preserve">Tubing cutters (incl. large Ridgid) + PVC ratchet cutter</t>
  </si>
  <si>
    <t xml:space="preserve">Tube bender, fin tool set, protractor, single gauge</t>
  </si>
  <si>
    <t xml:space="preserve">Brazing tips</t>
  </si>
  <si>
    <t xml:space="preserve">Blow guns, Nylog Blue, batteries, pliers, misc</t>
  </si>
  <si>
    <t xml:space="preserve">Subtotal - Drawer 5 - HVAC Fittings</t>
  </si>
  <si>
    <t xml:space="preserve">Floor - Gauges &amp; Meters</t>
  </si>
  <si>
    <t xml:space="preserve">CPS VG200 digital vacuum gauges (in case)</t>
  </si>
  <si>
    <t xml:space="preserve">VG200</t>
  </si>
  <si>
    <t xml:space="preserve">Live price, trutechtools.com, checked 2026-09-19</t>
  </si>
  <si>
    <t xml:space="preserve">K-type thermometer kit with probes and pipe clamp</t>
  </si>
  <si>
    <t xml:space="preserve">IR thermometer gun + OFOND folding thermometer</t>
  </si>
  <si>
    <t xml:space="preserve">Grip 5pc XL chisel set</t>
  </si>
  <si>
    <t xml:space="preserve">Dashap 9pc hole saw set</t>
  </si>
  <si>
    <t xml:space="preserve">Casoman 1/2in deep impact sockets</t>
  </si>
  <si>
    <t xml:space="preserve">Subtotal - Floor - Gauges &amp; Meters</t>
  </si>
  <si>
    <t xml:space="preserve">Standalone Items</t>
  </si>
  <si>
    <t xml:space="preserve">Hart rolling tool cabinet</t>
  </si>
  <si>
    <t xml:space="preserve">Torch kit (2 bodies, approx 9 tips, Husky pouch)</t>
  </si>
  <si>
    <t xml:space="preserve">Toptes PT520A gas leak detector</t>
  </si>
  <si>
    <t xml:space="preserve">PT520A</t>
  </si>
  <si>
    <t xml:space="preserve">Live price, toptestools.com, checked 2026-09-19; front/back photos of same unit, counted once</t>
  </si>
  <si>
    <t xml:space="preserve">Subtotal - Standalone Items</t>
  </si>
  <si>
    <t xml:space="preserve">Drawer 6 - Hammers &amp; Hand Tools</t>
  </si>
  <si>
    <t xml:space="preserve">Hammers (3), dead-blow, mallet</t>
  </si>
  <si>
    <t xml:space="preserve">Tongue-and-groove pliers, pry bars, 2 adjustables, hacksaw</t>
  </si>
  <si>
    <t xml:space="preserve">Pittsburgh click-type torque wrench</t>
  </si>
  <si>
    <t xml:space="preserve">Amazon Basics impact socket set</t>
  </si>
  <si>
    <t xml:space="preserve">N WISE jump starter</t>
  </si>
  <si>
    <t xml:space="preserve">Milwaukee red case (contents not itemized)</t>
  </si>
  <si>
    <t xml:space="preserve">Canvas bags (2) and unidentified brown box</t>
  </si>
  <si>
    <t xml:space="preserve">Subtotal - Drawer 6 - Hammers &amp; Hand Tools</t>
  </si>
  <si>
    <t xml:space="preserve">Drawer 6 - Refrigeration Fittings</t>
  </si>
  <si>
    <t xml:space="preserve">Yellow Jacket ball valves</t>
  </si>
  <si>
    <t xml:space="preserve">Yellow Jacket couplers (bagged)</t>
  </si>
  <si>
    <t xml:space="preserve">Brass fittings and tees</t>
  </si>
  <si>
    <t xml:space="preserve">CPS solenoid magnet, valve core tools and cores</t>
  </si>
  <si>
    <t xml:space="preserve">Subtotal - Drawer 6 - Refrigeration Fittings</t>
  </si>
  <si>
    <t xml:space="preserve">Drawer 6 - Electrical &amp; Fasteners</t>
  </si>
  <si>
    <t xml:space="preserve">Wire nut jars</t>
  </si>
  <si>
    <t xml:space="preserve">Ferrules, 3M Scotchlok terminals (4 boxes)</t>
  </si>
  <si>
    <t xml:space="preserve">Heat-shrink and splice kits</t>
  </si>
  <si>
    <t xml:space="preserve">Estimated, assorted</t>
  </si>
  <si>
    <t xml:space="preserve">Screw assortment, PTO pins</t>
  </si>
  <si>
    <t xml:space="preserve">SDS chisel set</t>
  </si>
  <si>
    <t xml:space="preserve">Endoscope and washers</t>
  </si>
  <si>
    <t xml:space="preserve">Subtotal - Drawer 6 - Electrical &amp; Fasteners</t>
  </si>
  <si>
    <t xml:space="preserve">Drawer 6 - Clamps, Puller &amp; Sockets</t>
  </si>
  <si>
    <t xml:space="preserve">C-clamps</t>
  </si>
  <si>
    <t xml:space="preserve">Gear puller</t>
  </si>
  <si>
    <t xml:space="preserve">Husky 14in pipe wrench</t>
  </si>
  <si>
    <t xml:space="preserve">Verify not a duplicate of Drawer 4 pipe wrenches</t>
  </si>
  <si>
    <t xml:space="preserve">Pittsburgh 13pc deep impact set</t>
  </si>
  <si>
    <t xml:space="preserve">Impact swivel and canvas pouch</t>
  </si>
  <si>
    <t xml:space="preserve">Subtotal - Drawer 6 - Clamps, Puller &amp; Sockets</t>
  </si>
  <si>
    <t xml:space="preserve">Drawer 6 - Taps &amp; Hex Sockets</t>
  </si>
  <si>
    <t xml:space="preserve">Drill America 5pc NPT tap set</t>
  </si>
  <si>
    <t xml:space="preserve">HSS drill/tap combo set</t>
  </si>
  <si>
    <t xml:space="preserve">Pittsburgh 9pc hex socket sets</t>
  </si>
  <si>
    <t xml:space="preserve">Subtotal - Drawer 6 - Taps &amp; Hex Sockets</t>
  </si>
  <si>
    <t xml:space="preserve">Drawer 6 - Worn Impact Sockets</t>
  </si>
  <si>
    <t xml:space="preserve">Pittsburgh deep impact sockets, worn</t>
  </si>
  <si>
    <t xml:space="preserve">Full new-retail replacement cost, per company request; sockets themselves are well-used</t>
  </si>
  <si>
    <t xml:space="preserve">Adapter, swivel, U-joint</t>
  </si>
  <si>
    <t xml:space="preserve">Subtotal - Drawer 6 - Worn Impact Sockets</t>
  </si>
  <si>
    <t xml:space="preserve">Drawer 7 - Batteries &amp; Charger</t>
  </si>
  <si>
    <t xml:space="preserve">Milwaukee M12 Red Lithium batteries (XC3.0/XC4.0)</t>
  </si>
  <si>
    <t xml:space="preserve">DeWalt 20V batteries (4.0Ah + unlabeled)</t>
  </si>
  <si>
    <t xml:space="preserve">Milwaukee M18 batteries, CP2.0-XC6.0 (working)</t>
  </si>
  <si>
    <t xml:space="preserve">Estimated; mixed capacities, largest line item in collection</t>
  </si>
  <si>
    <t xml:space="preserve">Milwaukee M18 batteries, heat-damaged/faded</t>
  </si>
  <si>
    <t xml:space="preserve">Full new-retail replacement cost, per company request; batteries themselves are heat-damaged/faded and should not be used</t>
  </si>
  <si>
    <t xml:space="preserve">Milwaukee M18 Six-Pack Charger (48-59-1806)</t>
  </si>
  <si>
    <t xml:space="preserve">48-59-1806</t>
  </si>
  <si>
    <t xml:space="preserve">E50DC230403220D</t>
  </si>
  <si>
    <t xml:space="preserve">Live price, toolup.com, checked 2026-09-19</t>
  </si>
  <si>
    <t xml:space="preserve">Subtotal - Drawer 7 - Batteries &amp; Charger</t>
  </si>
  <si>
    <t xml:space="preserve">Drawer 7 - Power Tools</t>
  </si>
  <si>
    <t xml:space="preserve">Milwaukee M18 Rotary Hammer (2605-20)</t>
  </si>
  <si>
    <t xml:space="preserve">2605-20</t>
  </si>
  <si>
    <t xml:space="preserve">Live price, homedepot.com, checked 2026-09-19</t>
  </si>
  <si>
    <t xml:space="preserve">Milwaukee M18 1/2in Impact Wrench (2763-20)</t>
  </si>
  <si>
    <t xml:space="preserve">2763-20</t>
  </si>
  <si>
    <t xml:space="preserve">Label worn, partially legible (approx. F42CC1645..46) - verify</t>
  </si>
  <si>
    <t xml:space="preserve">Live price (market average, new), checked 2026-09-19; label badly worn</t>
  </si>
  <si>
    <t xml:space="preserve">Milwaukee M18 Sawzall (2821-20)</t>
  </si>
  <si>
    <t xml:space="preserve">2821-20</t>
  </si>
  <si>
    <t xml:space="preserve">L37AD244300694</t>
  </si>
  <si>
    <t xml:space="preserve">Live price, acmetools.com, checked 2026-09-19</t>
  </si>
  <si>
    <t xml:space="preserve">Milwaukee M18 Band Saw (2629-20)</t>
  </si>
  <si>
    <t xml:space="preserve">2629-20</t>
  </si>
  <si>
    <t xml:space="preserve">C14DD184101212</t>
  </si>
  <si>
    <t xml:space="preserve">Live price, walmart.com/woodartsupply.com agree, checked 2026-09-19</t>
  </si>
  <si>
    <t xml:space="preserve">Milwaukee M12 Band Saw (2429-20)</t>
  </si>
  <si>
    <t xml:space="preserve">2429-20</t>
  </si>
  <si>
    <t xml:space="preserve">E25AD164901569</t>
  </si>
  <si>
    <t xml:space="preserve">Milwaukee M18 Hackzall (2719-20)</t>
  </si>
  <si>
    <t xml:space="preserve">2719-20</t>
  </si>
  <si>
    <t xml:space="preserve">H98DR244101855</t>
  </si>
  <si>
    <t xml:space="preserve">Milwaukee M12 Cross Line &amp; Plumb Laser (3622-20)</t>
  </si>
  <si>
    <t xml:space="preserve">3622-20</t>
  </si>
  <si>
    <t xml:space="preserve">L42AB230300646L</t>
  </si>
  <si>
    <t xml:space="preserve">Live price, toolnut.com, checked 2026-09-19; unit marked WILL</t>
  </si>
  <si>
    <t xml:space="preserve">Milwaukee M12 Die Grinder (2486-20)</t>
  </si>
  <si>
    <t xml:space="preserve">2486-20</t>
  </si>
  <si>
    <t xml:space="preserve">Partially legible on tag - verify</t>
  </si>
  <si>
    <t xml:space="preserve">BDJHMP grinding head (generic/import)</t>
  </si>
  <si>
    <t xml:space="preserve">BDJHMP</t>
  </si>
  <si>
    <t xml:space="preserve">YAOBB Rechargeable Folding LED Work Light (20V/18V compatible)</t>
  </si>
  <si>
    <t xml:space="preserve">Identified via close-up tag photo, Sept 19 2026 (previously listed as 'unidentified yellow/black tool'); generic import brand, estimated retail - no catalog listing found for this exact model</t>
  </si>
  <si>
    <t xml:space="preserve">RIDGID RP 351 Cordless Press Tool w/ ProPress jaws</t>
  </si>
  <si>
    <t xml:space="preserve">RP351</t>
  </si>
  <si>
    <t xml:space="preserve">Partially legible (approx. B..12411064) - verify against tool</t>
  </si>
  <si>
    <t xml:space="preserve">Identified via close-up tag photo, Sept 19 2026 (previously listed as 'unidentified red tool with hinged jaws'); live price, testequipmentdepot.com (kit w/ 1/2-1in ProPress jaws), checked 2026-09-19 - largest single line item in the inventory; exact jaw-set size not fully confirmed from photo, verify against tool (RP351 kit pricing ranges ~$2,575 tool-only to ~$4,068 for 1/2-2in jaws)</t>
  </si>
  <si>
    <t xml:space="preserve">Milwaukee M12 Compact Inflator (2475-20)</t>
  </si>
  <si>
    <t xml:space="preserve">2475-20</t>
  </si>
  <si>
    <t xml:space="preserve">J47AB214902212Y</t>
  </si>
  <si>
    <t xml:space="preserve">Newly identified via close-up tag photo, Sept 19 2026 - not previously itemized; live price, walmart.com, checked 2026-09-19</t>
  </si>
  <si>
    <t xml:space="preserve">DeWalt 20V Max Pipe Deburring Tool (DCE710B)</t>
  </si>
  <si>
    <t xml:space="preserve">DCE710B</t>
  </si>
  <si>
    <t xml:space="preserve">Marked WILL; no serial tag visible in photo provided</t>
  </si>
  <si>
    <t xml:space="preserve">Newly identified via close-up tag photo, Sept 19 2026 - not previously itemized; live price, homedepot.com, checked 2026-09-19; unit marked WILL</t>
  </si>
  <si>
    <t xml:space="preserve">Milwaukee M18 FUEL 1/2in Hammer Drill/Driver (2904-20)</t>
  </si>
  <si>
    <t xml:space="preserve">2904-20</t>
  </si>
  <si>
    <t xml:space="preserve">M64AD23190067</t>
  </si>
  <si>
    <t xml:space="preserve">Newly identified via close-up tag photo, Sept 19 2026 - not previously itemized; live price, toolup.com, checked 2026-09-19</t>
  </si>
  <si>
    <t xml:space="preserve">Milwaukee M12 Copper Tubing Cutter (2471-20)</t>
  </si>
  <si>
    <t xml:space="preserve">2471-20</t>
  </si>
  <si>
    <t xml:space="preserve">B61CF241302289</t>
  </si>
  <si>
    <t xml:space="preserve">Newly identified via close-up tag photo, Sept 19 2026 - not previously itemized; live price, acmetools.com, checked 2026-09-19</t>
  </si>
  <si>
    <t xml:space="preserve">Milwaukee M18 FUEL 1/4in Hex Impact Driver (2953-20)</t>
  </si>
  <si>
    <t xml:space="preserve">2953-20</t>
  </si>
  <si>
    <t xml:space="preserve">M67AF2316027I9 (last chars partially legible)</t>
  </si>
  <si>
    <t xml:space="preserve">Newly identified via close-up tag photo, Sept 19 2026 - not previously itemized; live price, homedepot.com, checked 2026-09-19</t>
  </si>
  <si>
    <t xml:space="preserve">Milwaukee M18 FUEL Oscillating Multi-Tool (2836-20)</t>
  </si>
  <si>
    <t xml:space="preserve">2836-20</t>
  </si>
  <si>
    <t xml:space="preserve">L53BM231409400</t>
  </si>
  <si>
    <t xml:space="preserve">Newly identified via close-up tag photo, Sept 19 2026 - not previously itemized; live price, toolnut.com, checked 2026-09-19</t>
  </si>
  <si>
    <t xml:space="preserve">Milwaukee Deep Cut Band Saw, corded (6232-20)</t>
  </si>
  <si>
    <t xml:space="preserve">6232-20</t>
  </si>
  <si>
    <t xml:space="preserve">L51CD15142271 (label photographed rotated - verify)</t>
  </si>
  <si>
    <t xml:space="preserve">Newly identified via close-up tag photo, Sept 19 2026 - not previously itemized; a third band saw, distinct from the two cordless units above; live price, walmart.com, checked 2026-09-19</t>
  </si>
  <si>
    <t xml:space="preserve">Subtotal - Drawer 7 - Power Tools</t>
  </si>
  <si>
    <t xml:space="preserve">Testo Smart Probes (live-priced)</t>
  </si>
  <si>
    <t xml:space="preserve">Testo 405i Hot-Wire Anemometer Smart Probe</t>
  </si>
  <si>
    <t xml:space="preserve">Testo 410i Vane Anemometer Smart Probe</t>
  </si>
  <si>
    <t xml:space="preserve">Testo 510i Differential Pressure Manometer Smart Probe</t>
  </si>
  <si>
    <t xml:space="preserve">Live price, testequipmentdepot.com, checked 2026-09-19</t>
  </si>
  <si>
    <t xml:space="preserve">Testo 549i Refrigeration Pressure Smart Probe</t>
  </si>
  <si>
    <t xml:space="preserve">Testo 552i Smart Vacuum Probe</t>
  </si>
  <si>
    <t xml:space="preserve">Live price, tequipment.net, checked 2026-09-19</t>
  </si>
  <si>
    <t xml:space="preserve">Testo 605i Thermo-Hygrometer Smart Probe</t>
  </si>
  <si>
    <t xml:space="preserve">Testo 115i Pipe Clamp Thermometer Smart Probe</t>
  </si>
  <si>
    <t xml:space="preserve">0560 2115</t>
  </si>
  <si>
    <t xml:space="preserve">47447613 / 47440713</t>
  </si>
  <si>
    <t xml:space="preserve">Live price, testequipmentdepot.com, checked 2026-09-19; two physical units confirmed via close-up tag photos Sept 19 2026, each with its own serial number - confirmed separate from the 558s manifold, not part of that kit</t>
  </si>
  <si>
    <t xml:space="preserve">Subtotal - Testo Smart Probes (live-priced)</t>
  </si>
  <si>
    <t xml:space="preserve">Drawer 8 - Welding PPE</t>
  </si>
  <si>
    <t xml:space="preserve">Leather welding cap/hood, orange</t>
  </si>
  <si>
    <t xml:space="preserve">Leather gauntlet glove, gray, single</t>
  </si>
  <si>
    <t xml:space="preserve">Estimated; appears to be an odd/incomplete pair - verify</t>
  </si>
  <si>
    <t xml:space="preserve">Welding bib apron/jacket, blue canvas with leather panel</t>
  </si>
  <si>
    <t xml:space="preserve">Black Stallion leather welding gloves, pair (950 series)</t>
  </si>
  <si>
    <t xml:space="preserve">Estimated, priced as a pair</t>
  </si>
  <si>
    <t xml:space="preserve">Subtotal - Drawer 8 - Welding PPE</t>
  </si>
  <si>
    <t xml:space="preserve">Drawer 8 - HVAC Instruments</t>
  </si>
  <si>
    <t xml:space="preserve">Testo 558s Digital Manifold (manifold only, order no. 0564 5581 01)</t>
  </si>
  <si>
    <t xml:space="preserve">0564 5581</t>
  </si>
  <si>
    <t xml:space="preserve">Live price, testo-direct.com, checked 2026-09-19; model/order number confirmed via close-up tag photo Sept 19 2026 - the two Testo 115i probes and two 552i probes are confirmed as separate physical units with their own serial numbers and are priced separately above, not part of this manifold</t>
  </si>
  <si>
    <t xml:space="preserve">Subtotal - Drawer 8 - HVAC Instruments</t>
  </si>
  <si>
    <t xml:space="preserve">Drawer 8 - Torch/Solder Kit</t>
  </si>
  <si>
    <t xml:space="preserve">Torch/soldering bag: Bernzomatic torch head, hoses, brass fitting, wire brush, tube cutter, adjustable wrench, tape</t>
  </si>
  <si>
    <t xml:space="preserve">Subtotal - Drawer 8 - Torch/Solder Kit</t>
  </si>
  <si>
    <t xml:space="preserve">Drawer 8 - Electrical Test</t>
  </si>
  <si>
    <t xml:space="preserve">Klein Tools ET450 Circuit Tracer kit (receiver, transmitter, accessories, case)</t>
  </si>
  <si>
    <t xml:space="preserve">ET450</t>
  </si>
  <si>
    <t xml:space="preserve">Tech pouch misc small tools (crimpers, pliers, markers)</t>
  </si>
  <si>
    <t xml:space="preserve">Subtotal - Drawer 8 - Electrical Test</t>
  </si>
  <si>
    <t xml:space="preserve">Drawer 8 - Power Tools</t>
  </si>
  <si>
    <t xml:space="preserve">Milwaukee M18 Blower, handheld cordless</t>
  </si>
  <si>
    <t xml:space="preserve">Subtotal - Drawer 8 - Power Tools</t>
  </si>
  <si>
    <t xml:space="preserve">Drawer 8 - Grinding Consumables</t>
  </si>
  <si>
    <t xml:space="preserve">Grinding wheels/discs/wire wheel assortment (Diablo flap disc, Milwaukee wire wheel, cut-off wheels, sanding discs)</t>
  </si>
  <si>
    <t xml:space="preserve">Subtotal - Drawer 8 - Grinding Consumables</t>
  </si>
  <si>
    <t xml:space="preserve">Drawer 8 - Clamps &amp; Hand Tools</t>
  </si>
  <si>
    <t xml:space="preserve">Husky 6in C-clamps</t>
  </si>
  <si>
    <t xml:space="preserve">Stanley FatMax tape measure</t>
  </si>
  <si>
    <t xml:space="preserve">Pipe wrenches, small/medium (incl. one marked MIKE)</t>
  </si>
  <si>
    <t xml:space="preserve">OMT gear puller set (2-jaw &amp; 3-jaw combo)</t>
  </si>
  <si>
    <t xml:space="preserve">Drummond 1/10 HP non-submersible transfer pump</t>
  </si>
  <si>
    <t xml:space="preserve">Husky pipe wrenches, red (2 sizes)</t>
  </si>
  <si>
    <t xml:space="preserve">Estimated; verify not a duplicate of pipe wrenches counted in Drawer 4 or Drawer 6</t>
  </si>
  <si>
    <t xml:space="preserve">Adjustable wrench</t>
  </si>
  <si>
    <t xml:space="preserve">Husky C-clamp</t>
  </si>
  <si>
    <t xml:space="preserve">Estimated; verify not a duplicate of clamps counted in Drawer 6</t>
  </si>
  <si>
    <t xml:space="preserve">Renyinda duct crimping/lock-forming tools</t>
  </si>
  <si>
    <t xml:space="preserve">Subtotal - Drawer 8 - Clamps &amp; Hand Tools</t>
  </si>
  <si>
    <t xml:space="preserve">Drawer 8 - Tool Bags</t>
  </si>
  <si>
    <t xml:space="preserve">Tool backpack contents (screwdrivers, pliers, tape, torpedo level, Milwaukee folding utility knife, multi-tool)</t>
  </si>
  <si>
    <t xml:space="preserve">Veto Pro Pac Tech Series tool bag</t>
  </si>
  <si>
    <t xml:space="preserve">Estimated, bag only</t>
  </si>
  <si>
    <t xml:space="preserve">Subtotal - Drawer 8 - Tool Bags</t>
  </si>
  <si>
    <t xml:space="preserve">GRAND TOTAL - ESTIMATED REPLACEMENT VALUE</t>
  </si>
  <si>
    <t xml:space="preserve">Notes on this inventory and valuation - Will Coburn</t>
  </si>
  <si>
    <t xml:space="preserve">This spreadsheet was built from photos of tool drawers, a rolling cabinet, and loose items, without physical</t>
  </si>
  <si>
    <t xml:space="preserve">inspection or serial-number verification beyond what is legible in the photos provided. Treat every 'Estimated'</t>
  </si>
  <si>
    <t xml:space="preserve">price as a rough retail replacement figure, not an appraisal or insurance-grade valuation.</t>
  </si>
  <si>
    <t xml:space="preserve">Pricing basis:</t>
  </si>
  <si>
    <t xml:space="preserve">- Most line items are estimated new retail replacement cost based on the brand, size, and apparent model</t>
  </si>
  <si>
    <t xml:space="preserve">  visible in the photos, not the item's used/resale value.</t>
  </si>
  <si>
    <t xml:space="preserve">- The Testo smart probes and manifold, the CPS VG200 vacuum gauges, the Toptes gas leak detector, the</t>
  </si>
  <si>
    <t xml:space="preserve">  Klein ET450 kit, the RIDGID RP 351 press tool, and every Milwaukee/DeWalt tool with a visible catalog</t>
  </si>
  <si>
    <t xml:space="preserve">  number are priced against live current retail listings (see Notes/Source column and date on each row)</t>
  </si>
  <si>
    <t xml:space="preserve">  rather than estimated - these were the items where a guess risked being too low for specialty/</t>
  </si>
  <si>
    <t xml:space="preserve">  professional-grade gear.</t>
  </si>
  <si>
    <t xml:space="preserve">- Items marked 'Could not identify from photo - verify' carry a placeholder price and should be checked</t>
  </si>
  <si>
    <t xml:space="preserve">  against the actual tool before relying on the total.</t>
  </si>
  <si>
    <t xml:space="preserve">- All items, including heat-damaged batteries and well-used/worn sockets, are priced at full new-retail</t>
  </si>
  <si>
    <t xml:space="preserve">  replacement cost, not resale or condition-adjusted value, per company request.</t>
  </si>
  <si>
    <t xml:space="preserve">Model No. / Serial No. columns:</t>
  </si>
  <si>
    <t xml:space="preserve">- Added Sept 19, 2026 from close-up tag photos of individual tools. They are populated only where a tag</t>
  </si>
  <si>
    <t xml:space="preserve">  photo (or, for a few specialty items, a verified catalog page) confirmed the number - a blank cell means</t>
  </si>
  <si>
    <t xml:space="preserve">  no reliable number is available yet, not that the tool lacks one.</t>
  </si>
  <si>
    <t xml:space="preserve">- A few serials are marked 'partially legible' where the physical label was worn, glare-obscured, or</t>
  </si>
  <si>
    <t xml:space="preserve">  photographed at an angle; those should be re-verified against the tool before relying on them.</t>
  </si>
  <si>
    <t xml:space="preserve">Changes from today's close-up tag photos (Sept 19, 2026):</t>
  </si>
  <si>
    <t xml:space="preserve">- Seven power tools not previously itemized were identified and added to Drawer 7 - Power Tools: a</t>
  </si>
  <si>
    <t xml:space="preserve">  Milwaukee Compact Inflator (2475-20), a DeWalt Pipe Deburring Tool (DCE710B, marked WILL), a Milwaukee</t>
  </si>
  <si>
    <t xml:space="preserve">  Hammer Drill/Driver (2904-20), a Milwaukee Copper Tubing Cutter (2471-20), a Milwaukee 1/4in Impact</t>
  </si>
  <si>
    <t xml:space="preserve">  Driver (2953-20), a Milwaukee Oscillating Multi-Tool (2836-20), and a corded Milwaukee Deep Cut Band</t>
  </si>
  <si>
    <t xml:space="preserve">  Saw (6232-20) - the drawer holds three band saws total (two cordless, one corded).</t>
  </si>
  <si>
    <t xml:space="preserve">- The two previously 'unidentified' Drawer 7 placeholders are now identified: the red tool with hinged</t>
  </si>
  <si>
    <t xml:space="preserve">  jaws is a RIDGID RP 351 press tool (largest single line item in the inventory at ~$3,812 - exact jaw-set</t>
  </si>
  <si>
    <t xml:space="preserve">  size not fully confirmed, verify), and the yellow/black tool is a generic YAOBB folding LED work light</t>
  </si>
  <si>
    <t xml:space="preserve">  (~$30).</t>
  </si>
  <si>
    <t xml:space="preserve">- The Testo 558s manifold and the two Testo 115i probes are now confirmed as separate physical units with</t>
  </si>
  <si>
    <t xml:space="preserve">  distinct serial numbers, resolving the earlier double-counting concern.</t>
  </si>
  <si>
    <t xml:space="preserve">Known uncertainties that could shift the grand total meaningfully:</t>
  </si>
  <si>
    <t xml:space="preserve">- The regulator/gauge lot in Drawer 4 (brand and pressure ratings not fully legible).</t>
  </si>
  <si>
    <t xml:space="preserve">- The two blade cases in Drawer 3 whose contents were not individually counted.</t>
  </si>
  <si>
    <t xml:space="preserve">- The RIDGID RP 351 press tool's jaw-set size (see Model/Serial note on that row) - could shift that line</t>
  </si>
  <si>
    <t xml:space="preserve">  item by well over $1,000 in either direction.</t>
  </si>
  <si>
    <t xml:space="preserve">- Whether the Husky 14in pipe wrench in the clamps/sockets photo duplicates one already counted in Drawer 4.</t>
  </si>
  <si>
    <t xml:space="preserve">- Drawer 8: the pipe wrenches and C-clamp in the 'Clamps &amp; Hand Tools' section may duplicate items already</t>
  </si>
  <si>
    <t xml:space="preserve">  counted in Drawer 4 or Drawer 6 - the photos show similar tools in different drawers.</t>
  </si>
  <si>
    <t xml:space="preserve">All formulas recalculate automatically - qty and unit price can be edited directly and totals will update.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</si>
</sst>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9E2F3"/>
        <bgColor rgb="FFC6E0B4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23.85" hidden="false" customHeight="false" outlineLevel="0" collapsed="false">
      <c r="A6" s="5"/>
      <c r="B6" s="6" t="s">
        <v>11</v>
      </c>
      <c r="C6" s="7"/>
      <c r="D6" s="7"/>
      <c r="E6" s="8" t="n">
        <v>11</v>
      </c>
      <c r="F6" s="9" t="n">
        <v>12</v>
      </c>
      <c r="G6" s="9" t="n">
        <f aca="false">E6*F6</f>
        <v>132</v>
      </c>
      <c r="H6" s="10" t="s">
        <v>12</v>
      </c>
    </row>
    <row r="7" customFormat="false" ht="23.85" hidden="false" customHeight="false" outlineLevel="0" collapsed="false">
      <c r="A7" s="5"/>
      <c r="B7" s="6" t="s">
        <v>13</v>
      </c>
      <c r="C7" s="7"/>
      <c r="D7" s="7"/>
      <c r="E7" s="8" t="n">
        <v>4</v>
      </c>
      <c r="F7" s="9" t="n">
        <v>45</v>
      </c>
      <c r="G7" s="9" t="n">
        <f aca="false">E7*F7</f>
        <v>180</v>
      </c>
      <c r="H7" s="10" t="s">
        <v>14</v>
      </c>
    </row>
    <row r="8" customFormat="false" ht="15" hidden="false" customHeight="false" outlineLevel="0" collapsed="false">
      <c r="A8" s="5"/>
      <c r="B8" s="6" t="s">
        <v>15</v>
      </c>
      <c r="C8" s="7"/>
      <c r="D8" s="7"/>
      <c r="E8" s="8" t="n">
        <v>1</v>
      </c>
      <c r="F8" s="9" t="n">
        <v>35</v>
      </c>
      <c r="G8" s="9" t="n">
        <f aca="false">E8*F8</f>
        <v>35</v>
      </c>
      <c r="H8" s="10" t="s">
        <v>16</v>
      </c>
    </row>
    <row r="9" customFormat="false" ht="15" hidden="false" customHeight="false" outlineLevel="0" collapsed="false">
      <c r="A9" s="5"/>
      <c r="B9" s="6" t="s">
        <v>17</v>
      </c>
      <c r="C9" s="7"/>
      <c r="D9" s="7"/>
      <c r="E9" s="8" t="n">
        <v>2</v>
      </c>
      <c r="F9" s="9" t="n">
        <v>40</v>
      </c>
      <c r="G9" s="9" t="n">
        <f aca="false">E9*F9</f>
        <v>80</v>
      </c>
      <c r="H9" s="10" t="s">
        <v>16</v>
      </c>
    </row>
    <row r="10" customFormat="false" ht="23.85" hidden="false" customHeight="false" outlineLevel="0" collapsed="false">
      <c r="A10" s="5"/>
      <c r="B10" s="6" t="s">
        <v>18</v>
      </c>
      <c r="C10" s="7"/>
      <c r="D10" s="7"/>
      <c r="E10" s="8" t="n">
        <v>2</v>
      </c>
      <c r="F10" s="9" t="n">
        <v>20</v>
      </c>
      <c r="G10" s="9" t="n">
        <f aca="false">E10*F10</f>
        <v>40</v>
      </c>
      <c r="H10" s="10" t="s">
        <v>19</v>
      </c>
    </row>
    <row r="11" customFormat="false" ht="23.85" hidden="false" customHeight="false" outlineLevel="0" collapsed="false">
      <c r="A11" s="5"/>
      <c r="B11" s="6" t="s">
        <v>20</v>
      </c>
      <c r="C11" s="7"/>
      <c r="D11" s="7"/>
      <c r="E11" s="8" t="n">
        <v>3</v>
      </c>
      <c r="F11" s="9" t="n">
        <v>15</v>
      </c>
      <c r="G11" s="9" t="n">
        <f aca="false">E11*F11</f>
        <v>45</v>
      </c>
      <c r="H11" s="10" t="s">
        <v>21</v>
      </c>
    </row>
    <row r="12" customFormat="false" ht="15" hidden="false" customHeight="false" outlineLevel="0" collapsed="false">
      <c r="A12" s="5"/>
      <c r="B12" s="6" t="s">
        <v>22</v>
      </c>
      <c r="C12" s="7"/>
      <c r="D12" s="7"/>
      <c r="E12" s="8" t="n">
        <v>1</v>
      </c>
      <c r="F12" s="9" t="n">
        <v>60</v>
      </c>
      <c r="G12" s="9" t="n">
        <f aca="false">E12*F12</f>
        <v>60</v>
      </c>
      <c r="H12" s="10" t="s">
        <v>16</v>
      </c>
    </row>
    <row r="13" customFormat="false" ht="15" hidden="false" customHeight="false" outlineLevel="0" collapsed="false">
      <c r="A13" s="5"/>
      <c r="B13" s="6" t="s">
        <v>23</v>
      </c>
      <c r="C13" s="7"/>
      <c r="D13" s="7"/>
      <c r="E13" s="8" t="n">
        <v>2</v>
      </c>
      <c r="F13" s="9" t="n">
        <v>17.5</v>
      </c>
      <c r="G13" s="9" t="n">
        <f aca="false">E13*F13</f>
        <v>35</v>
      </c>
      <c r="H13" s="10" t="s">
        <v>16</v>
      </c>
    </row>
    <row r="14" customFormat="false" ht="15" hidden="false" customHeight="false" outlineLevel="0" collapsed="false">
      <c r="A14" s="5"/>
      <c r="B14" s="6" t="s">
        <v>24</v>
      </c>
      <c r="C14" s="7"/>
      <c r="D14" s="7"/>
      <c r="E14" s="8" t="n">
        <v>4</v>
      </c>
      <c r="F14" s="9" t="n">
        <v>5</v>
      </c>
      <c r="G14" s="9" t="n">
        <f aca="false">E14*F14</f>
        <v>20</v>
      </c>
      <c r="H14" s="10" t="s">
        <v>21</v>
      </c>
    </row>
    <row r="15" customFormat="false" ht="15" hidden="false" customHeight="false" outlineLevel="0" collapsed="false">
      <c r="A15" s="5"/>
      <c r="B15" s="6" t="s">
        <v>25</v>
      </c>
      <c r="C15" s="7"/>
      <c r="D15" s="7"/>
      <c r="E15" s="8" t="n">
        <v>2</v>
      </c>
      <c r="F15" s="9" t="n">
        <v>12.5</v>
      </c>
      <c r="G15" s="9" t="n">
        <f aca="false">E15*F15</f>
        <v>25</v>
      </c>
      <c r="H15" s="10" t="s">
        <v>16</v>
      </c>
    </row>
    <row r="16" customFormat="false" ht="15" hidden="false" customHeight="false" outlineLevel="0" collapsed="false">
      <c r="A16" s="5"/>
      <c r="B16" s="6" t="s">
        <v>26</v>
      </c>
      <c r="C16" s="7"/>
      <c r="D16" s="7"/>
      <c r="E16" s="8" t="n">
        <v>1</v>
      </c>
      <c r="F16" s="9" t="n">
        <v>12</v>
      </c>
      <c r="G16" s="9" t="n">
        <f aca="false">E16*F16</f>
        <v>12</v>
      </c>
      <c r="H16" s="10" t="s">
        <v>16</v>
      </c>
    </row>
    <row r="17" customFormat="false" ht="15" hidden="false" customHeight="false" outlineLevel="0" collapsed="false">
      <c r="A17" s="5"/>
      <c r="B17" s="6" t="s">
        <v>27</v>
      </c>
      <c r="C17" s="7"/>
      <c r="D17" s="7"/>
      <c r="E17" s="8" t="n">
        <v>5</v>
      </c>
      <c r="F17" s="9" t="n">
        <v>8</v>
      </c>
      <c r="G17" s="9" t="n">
        <f aca="false">E17*F17</f>
        <v>40</v>
      </c>
      <c r="H17" s="10" t="s">
        <v>21</v>
      </c>
    </row>
    <row r="18" customFormat="false" ht="15" hidden="false" customHeight="false" outlineLevel="0" collapsed="false">
      <c r="A18" s="11"/>
      <c r="B18" s="12" t="s">
        <v>28</v>
      </c>
      <c r="C18" s="11"/>
      <c r="D18" s="11"/>
      <c r="E18" s="11"/>
      <c r="F18" s="11"/>
      <c r="G18" s="13" t="n">
        <f aca="false">SUM(G6:G17)</f>
        <v>704</v>
      </c>
      <c r="H18" s="11"/>
    </row>
    <row r="20" customFormat="false" ht="15" hidden="false" customHeight="false" outlineLevel="0" collapsed="false">
      <c r="A20" s="4" t="s">
        <v>29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5"/>
      <c r="B21" s="6" t="s">
        <v>30</v>
      </c>
      <c r="C21" s="7"/>
      <c r="D21" s="7"/>
      <c r="E21" s="8" t="n">
        <v>1</v>
      </c>
      <c r="F21" s="9" t="n">
        <v>55</v>
      </c>
      <c r="G21" s="9" t="n">
        <f aca="false">E21*F21</f>
        <v>55</v>
      </c>
      <c r="H21" s="10" t="s">
        <v>16</v>
      </c>
    </row>
    <row r="22" customFormat="false" ht="15" hidden="false" customHeight="false" outlineLevel="0" collapsed="false">
      <c r="A22" s="5"/>
      <c r="B22" s="6" t="s">
        <v>31</v>
      </c>
      <c r="C22" s="7"/>
      <c r="D22" s="7"/>
      <c r="E22" s="8" t="n">
        <v>1</v>
      </c>
      <c r="F22" s="9" t="n">
        <v>45</v>
      </c>
      <c r="G22" s="9" t="n">
        <f aca="false">E22*F22</f>
        <v>45</v>
      </c>
      <c r="H22" s="10" t="s">
        <v>16</v>
      </c>
    </row>
    <row r="23" customFormat="false" ht="15" hidden="false" customHeight="false" outlineLevel="0" collapsed="false">
      <c r="A23" s="5"/>
      <c r="B23" s="6" t="s">
        <v>32</v>
      </c>
      <c r="C23" s="7"/>
      <c r="D23" s="7"/>
      <c r="E23" s="8" t="n">
        <v>11</v>
      </c>
      <c r="F23" s="9" t="n">
        <v>17</v>
      </c>
      <c r="G23" s="9" t="n">
        <f aca="false">E23*F23</f>
        <v>187</v>
      </c>
      <c r="H23" s="10" t="s">
        <v>33</v>
      </c>
    </row>
    <row r="24" customFormat="false" ht="15" hidden="false" customHeight="false" outlineLevel="0" collapsed="false">
      <c r="A24" s="5"/>
      <c r="B24" s="6" t="s">
        <v>34</v>
      </c>
      <c r="C24" s="7"/>
      <c r="D24" s="7"/>
      <c r="E24" s="8" t="n">
        <v>1</v>
      </c>
      <c r="F24" s="9" t="n">
        <v>30</v>
      </c>
      <c r="G24" s="9" t="n">
        <f aca="false">E24*F24</f>
        <v>30</v>
      </c>
      <c r="H24" s="10" t="s">
        <v>16</v>
      </c>
    </row>
    <row r="25" customFormat="false" ht="15" hidden="false" customHeight="false" outlineLevel="0" collapsed="false">
      <c r="A25" s="5"/>
      <c r="B25" s="6" t="s">
        <v>35</v>
      </c>
      <c r="C25" s="7"/>
      <c r="D25" s="7"/>
      <c r="E25" s="8" t="n">
        <v>1</v>
      </c>
      <c r="F25" s="9" t="n">
        <v>25</v>
      </c>
      <c r="G25" s="9" t="n">
        <f aca="false">E25*F25</f>
        <v>25</v>
      </c>
      <c r="H25" s="10" t="s">
        <v>16</v>
      </c>
    </row>
    <row r="26" customFormat="false" ht="15" hidden="false" customHeight="false" outlineLevel="0" collapsed="false">
      <c r="A26" s="5"/>
      <c r="B26" s="6" t="s">
        <v>36</v>
      </c>
      <c r="C26" s="7"/>
      <c r="D26" s="7"/>
      <c r="E26" s="8" t="n">
        <v>3</v>
      </c>
      <c r="F26" s="9" t="n">
        <v>16.67</v>
      </c>
      <c r="G26" s="9" t="n">
        <f aca="false">E26*F26</f>
        <v>50.01</v>
      </c>
      <c r="H26" s="10" t="s">
        <v>16</v>
      </c>
    </row>
    <row r="27" customFormat="false" ht="15" hidden="false" customHeight="false" outlineLevel="0" collapsed="false">
      <c r="A27" s="5"/>
      <c r="B27" s="6" t="s">
        <v>37</v>
      </c>
      <c r="C27" s="7"/>
      <c r="D27" s="7"/>
      <c r="E27" s="8" t="n">
        <v>7</v>
      </c>
      <c r="F27" s="9" t="n">
        <v>5.71</v>
      </c>
      <c r="G27" s="9" t="n">
        <f aca="false">E27*F27</f>
        <v>39.97</v>
      </c>
      <c r="H27" s="10" t="s">
        <v>38</v>
      </c>
    </row>
    <row r="28" customFormat="false" ht="15" hidden="false" customHeight="false" outlineLevel="0" collapsed="false">
      <c r="A28" s="5"/>
      <c r="B28" s="6" t="s">
        <v>39</v>
      </c>
      <c r="C28" s="7"/>
      <c r="D28" s="7"/>
      <c r="E28" s="8" t="n">
        <v>1</v>
      </c>
      <c r="F28" s="9" t="n">
        <v>35</v>
      </c>
      <c r="G28" s="9" t="n">
        <f aca="false">E28*F28</f>
        <v>35</v>
      </c>
      <c r="H28" s="10" t="s">
        <v>16</v>
      </c>
    </row>
    <row r="29" customFormat="false" ht="15" hidden="false" customHeight="false" outlineLevel="0" collapsed="false">
      <c r="A29" s="5"/>
      <c r="B29" s="6" t="s">
        <v>40</v>
      </c>
      <c r="C29" s="7"/>
      <c r="D29" s="7"/>
      <c r="E29" s="8" t="n">
        <v>1</v>
      </c>
      <c r="F29" s="9" t="n">
        <v>25</v>
      </c>
      <c r="G29" s="9" t="n">
        <f aca="false">E29*F29</f>
        <v>25</v>
      </c>
      <c r="H29" s="10" t="s">
        <v>41</v>
      </c>
    </row>
    <row r="30" customFormat="false" ht="15" hidden="false" customHeight="false" outlineLevel="0" collapsed="false">
      <c r="A30" s="5"/>
      <c r="B30" s="6" t="s">
        <v>42</v>
      </c>
      <c r="C30" s="7"/>
      <c r="D30" s="7"/>
      <c r="E30" s="8" t="n">
        <v>1</v>
      </c>
      <c r="F30" s="9" t="n">
        <v>8</v>
      </c>
      <c r="G30" s="9" t="n">
        <f aca="false">E30*F30</f>
        <v>8</v>
      </c>
      <c r="H30" s="10" t="s">
        <v>16</v>
      </c>
    </row>
    <row r="31" customFormat="false" ht="23.85" hidden="false" customHeight="false" outlineLevel="0" collapsed="false">
      <c r="A31" s="5"/>
      <c r="B31" s="6" t="s">
        <v>43</v>
      </c>
      <c r="C31" s="7"/>
      <c r="D31" s="7"/>
      <c r="E31" s="8" t="n">
        <v>2</v>
      </c>
      <c r="F31" s="9" t="n">
        <v>12.5</v>
      </c>
      <c r="G31" s="9" t="n">
        <f aca="false">E31*F31</f>
        <v>25</v>
      </c>
      <c r="H31" s="10" t="s">
        <v>16</v>
      </c>
    </row>
    <row r="32" customFormat="false" ht="15" hidden="false" customHeight="false" outlineLevel="0" collapsed="false">
      <c r="A32" s="5"/>
      <c r="B32" s="6" t="s">
        <v>44</v>
      </c>
      <c r="C32" s="7"/>
      <c r="D32" s="7"/>
      <c r="E32" s="8" t="n">
        <v>2</v>
      </c>
      <c r="F32" s="9" t="n">
        <v>15</v>
      </c>
      <c r="G32" s="9" t="n">
        <f aca="false">E32*F32</f>
        <v>30</v>
      </c>
      <c r="H32" s="10" t="s">
        <v>45</v>
      </c>
    </row>
    <row r="33" customFormat="false" ht="15" hidden="false" customHeight="false" outlineLevel="0" collapsed="false">
      <c r="A33" s="5"/>
      <c r="B33" s="6" t="s">
        <v>46</v>
      </c>
      <c r="C33" s="7"/>
      <c r="D33" s="7"/>
      <c r="E33" s="8" t="n">
        <v>2</v>
      </c>
      <c r="F33" s="9" t="n">
        <v>5</v>
      </c>
      <c r="G33" s="9" t="n">
        <f aca="false">E33*F33</f>
        <v>10</v>
      </c>
      <c r="H33" s="10" t="s">
        <v>16</v>
      </c>
    </row>
    <row r="34" customFormat="false" ht="15" hidden="false" customHeight="false" outlineLevel="0" collapsed="false">
      <c r="A34" s="11"/>
      <c r="B34" s="12" t="s">
        <v>47</v>
      </c>
      <c r="C34" s="11"/>
      <c r="D34" s="11"/>
      <c r="E34" s="11"/>
      <c r="F34" s="11"/>
      <c r="G34" s="13" t="n">
        <f aca="false">SUM(G21:G33)</f>
        <v>564.98</v>
      </c>
      <c r="H34" s="11"/>
    </row>
    <row r="36" customFormat="false" ht="15" hidden="false" customHeight="false" outlineLevel="0" collapsed="false">
      <c r="A36" s="4" t="s">
        <v>48</v>
      </c>
      <c r="B36" s="4"/>
      <c r="C36" s="4"/>
      <c r="D36" s="4"/>
      <c r="E36" s="4"/>
      <c r="F36" s="4"/>
      <c r="G36" s="4"/>
      <c r="H36" s="4"/>
    </row>
    <row r="37" customFormat="false" ht="23.85" hidden="false" customHeight="false" outlineLevel="0" collapsed="false">
      <c r="A37" s="5"/>
      <c r="B37" s="6" t="s">
        <v>49</v>
      </c>
      <c r="C37" s="7"/>
      <c r="D37" s="7"/>
      <c r="E37" s="8" t="n">
        <v>1</v>
      </c>
      <c r="F37" s="9" t="n">
        <v>22</v>
      </c>
      <c r="G37" s="9" t="n">
        <f aca="false">E37*F37</f>
        <v>22</v>
      </c>
      <c r="H37" s="10" t="s">
        <v>16</v>
      </c>
    </row>
    <row r="38" customFormat="false" ht="15" hidden="false" customHeight="false" outlineLevel="0" collapsed="false">
      <c r="A38" s="5"/>
      <c r="B38" s="6" t="s">
        <v>50</v>
      </c>
      <c r="C38" s="7"/>
      <c r="D38" s="7"/>
      <c r="E38" s="8" t="n">
        <v>1</v>
      </c>
      <c r="F38" s="9" t="n">
        <v>12</v>
      </c>
      <c r="G38" s="9" t="n">
        <f aca="false">E38*F38</f>
        <v>12</v>
      </c>
      <c r="H38" s="10" t="s">
        <v>16</v>
      </c>
    </row>
    <row r="39" customFormat="false" ht="15" hidden="false" customHeight="false" outlineLevel="0" collapsed="false">
      <c r="A39" s="5"/>
      <c r="B39" s="6" t="s">
        <v>51</v>
      </c>
      <c r="C39" s="7"/>
      <c r="D39" s="7"/>
      <c r="E39" s="8" t="n">
        <v>1</v>
      </c>
      <c r="F39" s="9" t="n">
        <v>35</v>
      </c>
      <c r="G39" s="9" t="n">
        <f aca="false">E39*F39</f>
        <v>35</v>
      </c>
      <c r="H39" s="10" t="s">
        <v>16</v>
      </c>
    </row>
    <row r="40" customFormat="false" ht="15" hidden="false" customHeight="false" outlineLevel="0" collapsed="false">
      <c r="A40" s="5"/>
      <c r="B40" s="6" t="s">
        <v>52</v>
      </c>
      <c r="C40" s="7"/>
      <c r="D40" s="7"/>
      <c r="E40" s="8" t="n">
        <v>1</v>
      </c>
      <c r="F40" s="9" t="n">
        <v>20</v>
      </c>
      <c r="G40" s="9" t="n">
        <f aca="false">E40*F40</f>
        <v>20</v>
      </c>
      <c r="H40" s="10" t="s">
        <v>16</v>
      </c>
    </row>
    <row r="41" customFormat="false" ht="15" hidden="false" customHeight="false" outlineLevel="0" collapsed="false">
      <c r="A41" s="5"/>
      <c r="B41" s="6" t="s">
        <v>53</v>
      </c>
      <c r="C41" s="7"/>
      <c r="D41" s="7"/>
      <c r="E41" s="8" t="n">
        <v>1</v>
      </c>
      <c r="F41" s="9" t="n">
        <v>60</v>
      </c>
      <c r="G41" s="9" t="n">
        <f aca="false">E41*F41</f>
        <v>60</v>
      </c>
      <c r="H41" s="10" t="s">
        <v>54</v>
      </c>
    </row>
    <row r="42" customFormat="false" ht="15" hidden="false" customHeight="false" outlineLevel="0" collapsed="false">
      <c r="A42" s="5"/>
      <c r="B42" s="6" t="s">
        <v>55</v>
      </c>
      <c r="C42" s="7"/>
      <c r="D42" s="7"/>
      <c r="E42" s="8" t="n">
        <v>1</v>
      </c>
      <c r="F42" s="9" t="n">
        <v>70</v>
      </c>
      <c r="G42" s="9" t="n">
        <f aca="false">E42*F42</f>
        <v>70</v>
      </c>
      <c r="H42" s="10" t="s">
        <v>54</v>
      </c>
    </row>
    <row r="43" customFormat="false" ht="15" hidden="false" customHeight="false" outlineLevel="0" collapsed="false">
      <c r="A43" s="5"/>
      <c r="B43" s="6" t="s">
        <v>56</v>
      </c>
      <c r="C43" s="7"/>
      <c r="D43" s="7"/>
      <c r="E43" s="8" t="n">
        <v>1</v>
      </c>
      <c r="F43" s="9" t="n">
        <v>10</v>
      </c>
      <c r="G43" s="9" t="n">
        <f aca="false">E43*F43</f>
        <v>10</v>
      </c>
      <c r="H43" s="10" t="s">
        <v>16</v>
      </c>
    </row>
    <row r="44" customFormat="false" ht="15" hidden="false" customHeight="false" outlineLevel="0" collapsed="false">
      <c r="A44" s="5"/>
      <c r="B44" s="6" t="s">
        <v>57</v>
      </c>
      <c r="C44" s="7"/>
      <c r="D44" s="7"/>
      <c r="E44" s="8" t="n">
        <v>1</v>
      </c>
      <c r="F44" s="9" t="n">
        <v>8</v>
      </c>
      <c r="G44" s="9" t="n">
        <f aca="false">E44*F44</f>
        <v>8</v>
      </c>
      <c r="H44" s="10" t="s">
        <v>16</v>
      </c>
    </row>
    <row r="45" customFormat="false" ht="15" hidden="false" customHeight="false" outlineLevel="0" collapsed="false">
      <c r="A45" s="11"/>
      <c r="B45" s="12" t="s">
        <v>58</v>
      </c>
      <c r="C45" s="11"/>
      <c r="D45" s="11"/>
      <c r="E45" s="11"/>
      <c r="F45" s="11"/>
      <c r="G45" s="13" t="n">
        <f aca="false">SUM(G37:G44)</f>
        <v>237</v>
      </c>
      <c r="H45" s="11"/>
    </row>
    <row r="47" customFormat="false" ht="15" hidden="false" customHeight="false" outlineLevel="0" collapsed="false">
      <c r="A47" s="4" t="s">
        <v>59</v>
      </c>
      <c r="B47" s="4"/>
      <c r="C47" s="4"/>
      <c r="D47" s="4"/>
      <c r="E47" s="4"/>
      <c r="F47" s="4"/>
      <c r="G47" s="4"/>
      <c r="H47" s="4"/>
    </row>
    <row r="48" customFormat="false" ht="22.35" hidden="false" customHeight="false" outlineLevel="0" collapsed="false">
      <c r="A48" s="5"/>
      <c r="B48" s="6" t="s">
        <v>60</v>
      </c>
      <c r="C48" s="7"/>
      <c r="D48" s="7"/>
      <c r="E48" s="8" t="n">
        <v>14</v>
      </c>
      <c r="F48" s="9" t="n">
        <v>33.57</v>
      </c>
      <c r="G48" s="9" t="n">
        <f aca="false">E48*F48</f>
        <v>469.98</v>
      </c>
      <c r="H48" s="10" t="s">
        <v>61</v>
      </c>
    </row>
    <row r="49" customFormat="false" ht="15" hidden="false" customHeight="false" outlineLevel="0" collapsed="false">
      <c r="A49" s="5"/>
      <c r="B49" s="6" t="s">
        <v>62</v>
      </c>
      <c r="C49" s="7"/>
      <c r="D49" s="7"/>
      <c r="E49" s="8" t="n">
        <v>1</v>
      </c>
      <c r="F49" s="9" t="n">
        <v>120</v>
      </c>
      <c r="G49" s="9" t="n">
        <f aca="false">E49*F49</f>
        <v>120</v>
      </c>
      <c r="H49" s="10" t="s">
        <v>16</v>
      </c>
    </row>
    <row r="50" customFormat="false" ht="15" hidden="false" customHeight="false" outlineLevel="0" collapsed="false">
      <c r="A50" s="5"/>
      <c r="B50" s="6" t="s">
        <v>63</v>
      </c>
      <c r="C50" s="7"/>
      <c r="D50" s="7"/>
      <c r="E50" s="8" t="n">
        <v>12</v>
      </c>
      <c r="F50" s="9" t="n">
        <v>10</v>
      </c>
      <c r="G50" s="9" t="n">
        <f aca="false">E50*F50</f>
        <v>120</v>
      </c>
      <c r="H50" s="10" t="s">
        <v>16</v>
      </c>
    </row>
    <row r="51" customFormat="false" ht="15" hidden="false" customHeight="false" outlineLevel="0" collapsed="false">
      <c r="A51" s="5"/>
      <c r="B51" s="6" t="s">
        <v>64</v>
      </c>
      <c r="C51" s="7"/>
      <c r="D51" s="7"/>
      <c r="E51" s="8" t="n">
        <v>15</v>
      </c>
      <c r="F51" s="9" t="n">
        <v>15.33</v>
      </c>
      <c r="G51" s="9" t="n">
        <f aca="false">E51*F51</f>
        <v>229.95</v>
      </c>
      <c r="H51" s="10" t="s">
        <v>16</v>
      </c>
    </row>
    <row r="52" customFormat="false" ht="23.85" hidden="false" customHeight="false" outlineLevel="0" collapsed="false">
      <c r="A52" s="5"/>
      <c r="B52" s="6" t="s">
        <v>65</v>
      </c>
      <c r="C52" s="7"/>
      <c r="D52" s="7"/>
      <c r="E52" s="8" t="n">
        <v>5</v>
      </c>
      <c r="F52" s="9" t="n">
        <v>38</v>
      </c>
      <c r="G52" s="9" t="n">
        <f aca="false">E52*F52</f>
        <v>190</v>
      </c>
      <c r="H52" s="10" t="s">
        <v>16</v>
      </c>
    </row>
    <row r="53" customFormat="false" ht="23.85" hidden="false" customHeight="false" outlineLevel="0" collapsed="false">
      <c r="A53" s="5"/>
      <c r="B53" s="6" t="s">
        <v>66</v>
      </c>
      <c r="C53" s="7"/>
      <c r="D53" s="7"/>
      <c r="E53" s="8" t="n">
        <v>5</v>
      </c>
      <c r="F53" s="9" t="n">
        <v>29</v>
      </c>
      <c r="G53" s="9" t="n">
        <f aca="false">E53*F53</f>
        <v>145</v>
      </c>
      <c r="H53" s="10" t="s">
        <v>21</v>
      </c>
    </row>
    <row r="54" customFormat="false" ht="15" hidden="false" customHeight="false" outlineLevel="0" collapsed="false">
      <c r="A54" s="5"/>
      <c r="B54" s="6" t="s">
        <v>67</v>
      </c>
      <c r="C54" s="7"/>
      <c r="D54" s="7"/>
      <c r="E54" s="8" t="n">
        <v>4</v>
      </c>
      <c r="F54" s="9" t="n">
        <v>23.75</v>
      </c>
      <c r="G54" s="9" t="n">
        <f aca="false">E54*F54</f>
        <v>95</v>
      </c>
      <c r="H54" s="10" t="s">
        <v>21</v>
      </c>
    </row>
    <row r="55" customFormat="false" ht="15" hidden="false" customHeight="false" outlineLevel="0" collapsed="false">
      <c r="A55" s="11"/>
      <c r="B55" s="12" t="s">
        <v>68</v>
      </c>
      <c r="C55" s="11"/>
      <c r="D55" s="11"/>
      <c r="E55" s="11"/>
      <c r="F55" s="11"/>
      <c r="G55" s="13" t="n">
        <f aca="false">SUM(G48:G54)</f>
        <v>1369.93</v>
      </c>
      <c r="H55" s="11"/>
    </row>
    <row r="57" customFormat="false" ht="15" hidden="false" customHeight="false" outlineLevel="0" collapsed="false">
      <c r="A57" s="4" t="s">
        <v>69</v>
      </c>
      <c r="B57" s="4"/>
      <c r="C57" s="4"/>
      <c r="D57" s="4"/>
      <c r="E57" s="4"/>
      <c r="F57" s="4"/>
      <c r="G57" s="4"/>
      <c r="H57" s="4"/>
    </row>
    <row r="58" customFormat="false" ht="15" hidden="false" customHeight="false" outlineLevel="0" collapsed="false">
      <c r="A58" s="5"/>
      <c r="B58" s="6" t="s">
        <v>70</v>
      </c>
      <c r="C58" s="7"/>
      <c r="D58" s="7"/>
      <c r="E58" s="8" t="n">
        <v>3</v>
      </c>
      <c r="F58" s="9" t="n">
        <v>83.33</v>
      </c>
      <c r="G58" s="9" t="n">
        <f aca="false">E58*F58</f>
        <v>249.99</v>
      </c>
      <c r="H58" s="10" t="s">
        <v>16</v>
      </c>
    </row>
    <row r="59" customFormat="false" ht="15" hidden="false" customHeight="false" outlineLevel="0" collapsed="false">
      <c r="A59" s="5"/>
      <c r="B59" s="6" t="s">
        <v>71</v>
      </c>
      <c r="C59" s="7"/>
      <c r="D59" s="7"/>
      <c r="E59" s="8" t="n">
        <v>1</v>
      </c>
      <c r="F59" s="9" t="n">
        <v>200</v>
      </c>
      <c r="G59" s="9" t="n">
        <f aca="false">E59*F59</f>
        <v>200</v>
      </c>
      <c r="H59" s="10" t="s">
        <v>72</v>
      </c>
    </row>
    <row r="60" customFormat="false" ht="15" hidden="false" customHeight="false" outlineLevel="0" collapsed="false">
      <c r="A60" s="5"/>
      <c r="B60" s="6" t="s">
        <v>73</v>
      </c>
      <c r="C60" s="7"/>
      <c r="D60" s="7"/>
      <c r="E60" s="8" t="n">
        <v>4</v>
      </c>
      <c r="F60" s="9" t="n">
        <v>35</v>
      </c>
      <c r="G60" s="9" t="n">
        <f aca="false">E60*F60</f>
        <v>140</v>
      </c>
      <c r="H60" s="10" t="s">
        <v>16</v>
      </c>
    </row>
    <row r="61" customFormat="false" ht="15" hidden="false" customHeight="false" outlineLevel="0" collapsed="false">
      <c r="A61" s="5"/>
      <c r="B61" s="6" t="s">
        <v>74</v>
      </c>
      <c r="C61" s="7"/>
      <c r="D61" s="7"/>
      <c r="E61" s="8" t="n">
        <v>4</v>
      </c>
      <c r="F61" s="9" t="n">
        <v>37.5</v>
      </c>
      <c r="G61" s="9" t="n">
        <f aca="false">E61*F61</f>
        <v>150</v>
      </c>
      <c r="H61" s="10" t="s">
        <v>21</v>
      </c>
    </row>
    <row r="62" customFormat="false" ht="15" hidden="false" customHeight="false" outlineLevel="0" collapsed="false">
      <c r="A62" s="5"/>
      <c r="B62" s="6" t="s">
        <v>75</v>
      </c>
      <c r="C62" s="7"/>
      <c r="D62" s="7"/>
      <c r="E62" s="8" t="n">
        <v>5</v>
      </c>
      <c r="F62" s="9" t="n">
        <v>15</v>
      </c>
      <c r="G62" s="9" t="n">
        <f aca="false">E62*F62</f>
        <v>75</v>
      </c>
      <c r="H62" s="10" t="s">
        <v>16</v>
      </c>
    </row>
    <row r="63" customFormat="false" ht="15" hidden="false" customHeight="false" outlineLevel="0" collapsed="false">
      <c r="A63" s="5"/>
      <c r="B63" s="6" t="s">
        <v>76</v>
      </c>
      <c r="C63" s="7"/>
      <c r="D63" s="7"/>
      <c r="E63" s="8" t="n">
        <v>1</v>
      </c>
      <c r="F63" s="9" t="n">
        <v>135</v>
      </c>
      <c r="G63" s="9" t="n">
        <f aca="false">E63*F63</f>
        <v>135</v>
      </c>
      <c r="H63" s="10" t="s">
        <v>72</v>
      </c>
    </row>
    <row r="64" customFormat="false" ht="15" hidden="false" customHeight="false" outlineLevel="0" collapsed="false">
      <c r="A64" s="11"/>
      <c r="B64" s="12" t="s">
        <v>77</v>
      </c>
      <c r="C64" s="11"/>
      <c r="D64" s="11"/>
      <c r="E64" s="11"/>
      <c r="F64" s="11"/>
      <c r="G64" s="13" t="n">
        <f aca="false">SUM(G58:G63)</f>
        <v>949.99</v>
      </c>
      <c r="H64" s="11"/>
    </row>
    <row r="66" customFormat="false" ht="15" hidden="false" customHeight="false" outlineLevel="0" collapsed="false">
      <c r="A66" s="4" t="s">
        <v>78</v>
      </c>
      <c r="B66" s="4"/>
      <c r="C66" s="4"/>
      <c r="D66" s="4"/>
      <c r="E66" s="4"/>
      <c r="F66" s="4"/>
      <c r="G66" s="4"/>
      <c r="H66" s="4"/>
    </row>
    <row r="67" customFormat="false" ht="22.35" hidden="false" customHeight="false" outlineLevel="0" collapsed="false">
      <c r="A67" s="5"/>
      <c r="B67" s="6" t="s">
        <v>79</v>
      </c>
      <c r="C67" s="7" t="s">
        <v>80</v>
      </c>
      <c r="D67" s="7"/>
      <c r="E67" s="8" t="n">
        <v>3</v>
      </c>
      <c r="F67" s="9" t="n">
        <v>193.33</v>
      </c>
      <c r="G67" s="9" t="n">
        <f aca="false">E67*F67</f>
        <v>579.99</v>
      </c>
      <c r="H67" s="10" t="s">
        <v>81</v>
      </c>
    </row>
    <row r="68" customFormat="false" ht="15" hidden="false" customHeight="false" outlineLevel="0" collapsed="false">
      <c r="A68" s="5"/>
      <c r="B68" s="6" t="s">
        <v>82</v>
      </c>
      <c r="C68" s="7"/>
      <c r="D68" s="7"/>
      <c r="E68" s="8" t="n">
        <v>1</v>
      </c>
      <c r="F68" s="9" t="n">
        <v>100</v>
      </c>
      <c r="G68" s="9" t="n">
        <f aca="false">E68*F68</f>
        <v>100</v>
      </c>
      <c r="H68" s="10" t="s">
        <v>16</v>
      </c>
    </row>
    <row r="69" customFormat="false" ht="15" hidden="false" customHeight="false" outlineLevel="0" collapsed="false">
      <c r="A69" s="5"/>
      <c r="B69" s="6" t="s">
        <v>83</v>
      </c>
      <c r="C69" s="7"/>
      <c r="D69" s="7"/>
      <c r="E69" s="8" t="n">
        <v>2</v>
      </c>
      <c r="F69" s="9" t="n">
        <v>22.5</v>
      </c>
      <c r="G69" s="9" t="n">
        <f aca="false">E69*F69</f>
        <v>45</v>
      </c>
      <c r="H69" s="10" t="s">
        <v>16</v>
      </c>
    </row>
    <row r="70" customFormat="false" ht="15" hidden="false" customHeight="false" outlineLevel="0" collapsed="false">
      <c r="A70" s="5"/>
      <c r="B70" s="6" t="s">
        <v>84</v>
      </c>
      <c r="C70" s="7"/>
      <c r="D70" s="7"/>
      <c r="E70" s="8" t="n">
        <v>1</v>
      </c>
      <c r="F70" s="9" t="n">
        <v>55</v>
      </c>
      <c r="G70" s="9" t="n">
        <f aca="false">E70*F70</f>
        <v>55</v>
      </c>
      <c r="H70" s="10" t="s">
        <v>16</v>
      </c>
    </row>
    <row r="71" customFormat="false" ht="15" hidden="false" customHeight="false" outlineLevel="0" collapsed="false">
      <c r="A71" s="5"/>
      <c r="B71" s="6" t="s">
        <v>85</v>
      </c>
      <c r="C71" s="7"/>
      <c r="D71" s="7"/>
      <c r="E71" s="8" t="n">
        <v>1</v>
      </c>
      <c r="F71" s="9" t="n">
        <v>45</v>
      </c>
      <c r="G71" s="9" t="n">
        <f aca="false">E71*F71</f>
        <v>45</v>
      </c>
      <c r="H71" s="10" t="s">
        <v>16</v>
      </c>
    </row>
    <row r="72" customFormat="false" ht="15" hidden="false" customHeight="false" outlineLevel="0" collapsed="false">
      <c r="A72" s="5"/>
      <c r="B72" s="6" t="s">
        <v>86</v>
      </c>
      <c r="C72" s="7"/>
      <c r="D72" s="7"/>
      <c r="E72" s="8" t="n">
        <v>1</v>
      </c>
      <c r="F72" s="9" t="n">
        <v>45</v>
      </c>
      <c r="G72" s="9" t="n">
        <f aca="false">E72*F72</f>
        <v>45</v>
      </c>
      <c r="H72" s="10" t="s">
        <v>41</v>
      </c>
    </row>
    <row r="73" customFormat="false" ht="15" hidden="false" customHeight="false" outlineLevel="0" collapsed="false">
      <c r="A73" s="11"/>
      <c r="B73" s="12" t="s">
        <v>87</v>
      </c>
      <c r="C73" s="11"/>
      <c r="D73" s="11"/>
      <c r="E73" s="11"/>
      <c r="F73" s="11"/>
      <c r="G73" s="13" t="n">
        <f aca="false">SUM(G67:G72)</f>
        <v>869.99</v>
      </c>
      <c r="H73" s="11"/>
    </row>
    <row r="75" customFormat="false" ht="15" hidden="false" customHeight="false" outlineLevel="0" collapsed="false">
      <c r="A75" s="4" t="s">
        <v>88</v>
      </c>
      <c r="B75" s="4"/>
      <c r="C75" s="4"/>
      <c r="D75" s="4"/>
      <c r="E75" s="4"/>
      <c r="F75" s="4"/>
      <c r="G75" s="4"/>
      <c r="H75" s="4"/>
    </row>
    <row r="76" customFormat="false" ht="15" hidden="false" customHeight="false" outlineLevel="0" collapsed="false">
      <c r="A76" s="5"/>
      <c r="B76" s="6" t="s">
        <v>89</v>
      </c>
      <c r="C76" s="7"/>
      <c r="D76" s="7"/>
      <c r="E76" s="8" t="n">
        <v>1</v>
      </c>
      <c r="F76" s="9" t="n">
        <v>400</v>
      </c>
      <c r="G76" s="9" t="n">
        <f aca="false">E76*F76</f>
        <v>400</v>
      </c>
      <c r="H76" s="10" t="s">
        <v>16</v>
      </c>
    </row>
    <row r="77" customFormat="false" ht="15" hidden="false" customHeight="false" outlineLevel="0" collapsed="false">
      <c r="A77" s="5"/>
      <c r="B77" s="6" t="s">
        <v>90</v>
      </c>
      <c r="C77" s="7"/>
      <c r="D77" s="7"/>
      <c r="E77" s="8" t="n">
        <v>1</v>
      </c>
      <c r="F77" s="9" t="n">
        <v>300</v>
      </c>
      <c r="G77" s="9" t="n">
        <f aca="false">E77*F77</f>
        <v>300</v>
      </c>
      <c r="H77" s="10" t="s">
        <v>16</v>
      </c>
    </row>
    <row r="78" customFormat="false" ht="32.8" hidden="false" customHeight="false" outlineLevel="0" collapsed="false">
      <c r="A78" s="5"/>
      <c r="B78" s="6" t="s">
        <v>91</v>
      </c>
      <c r="C78" s="7" t="s">
        <v>92</v>
      </c>
      <c r="D78" s="7"/>
      <c r="E78" s="8" t="n">
        <v>1</v>
      </c>
      <c r="F78" s="9" t="n">
        <v>49.99</v>
      </c>
      <c r="G78" s="9" t="n">
        <f aca="false">E78*F78</f>
        <v>49.99</v>
      </c>
      <c r="H78" s="10" t="s">
        <v>93</v>
      </c>
    </row>
    <row r="79" customFormat="false" ht="15" hidden="false" customHeight="false" outlineLevel="0" collapsed="false">
      <c r="A79" s="11"/>
      <c r="B79" s="12" t="s">
        <v>94</v>
      </c>
      <c r="C79" s="11"/>
      <c r="D79" s="11"/>
      <c r="E79" s="11"/>
      <c r="F79" s="11"/>
      <c r="G79" s="13" t="n">
        <f aca="false">SUM(G76:G78)</f>
        <v>749.99</v>
      </c>
      <c r="H79" s="11"/>
    </row>
    <row r="81" customFormat="false" ht="15" hidden="false" customHeight="false" outlineLevel="0" collapsed="false">
      <c r="A81" s="4" t="s">
        <v>95</v>
      </c>
      <c r="B81" s="4"/>
      <c r="C81" s="4"/>
      <c r="D81" s="4"/>
      <c r="E81" s="4"/>
      <c r="F81" s="4"/>
      <c r="G81" s="4"/>
      <c r="H81" s="4"/>
    </row>
    <row r="82" customFormat="false" ht="15" hidden="false" customHeight="false" outlineLevel="0" collapsed="false">
      <c r="A82" s="5"/>
      <c r="B82" s="6" t="s">
        <v>96</v>
      </c>
      <c r="C82" s="7"/>
      <c r="D82" s="7"/>
      <c r="E82" s="8" t="n">
        <v>5</v>
      </c>
      <c r="F82" s="9" t="n">
        <v>35</v>
      </c>
      <c r="G82" s="9" t="n">
        <f aca="false">E82*F82</f>
        <v>175</v>
      </c>
      <c r="H82" s="10" t="s">
        <v>21</v>
      </c>
    </row>
    <row r="83" customFormat="false" ht="23.85" hidden="false" customHeight="false" outlineLevel="0" collapsed="false">
      <c r="A83" s="5"/>
      <c r="B83" s="6" t="s">
        <v>97</v>
      </c>
      <c r="C83" s="7"/>
      <c r="D83" s="7"/>
      <c r="E83" s="8" t="n">
        <v>5</v>
      </c>
      <c r="F83" s="9" t="n">
        <v>25</v>
      </c>
      <c r="G83" s="9" t="n">
        <f aca="false">E83*F83</f>
        <v>125</v>
      </c>
      <c r="H83" s="10" t="s">
        <v>21</v>
      </c>
    </row>
    <row r="84" customFormat="false" ht="15" hidden="false" customHeight="false" outlineLevel="0" collapsed="false">
      <c r="A84" s="5"/>
      <c r="B84" s="6" t="s">
        <v>98</v>
      </c>
      <c r="C84" s="7"/>
      <c r="D84" s="7"/>
      <c r="E84" s="8" t="n">
        <v>1</v>
      </c>
      <c r="F84" s="9" t="n">
        <v>45</v>
      </c>
      <c r="G84" s="9" t="n">
        <f aca="false">E84*F84</f>
        <v>45</v>
      </c>
      <c r="H84" s="10" t="s">
        <v>16</v>
      </c>
    </row>
    <row r="85" customFormat="false" ht="15" hidden="false" customHeight="false" outlineLevel="0" collapsed="false">
      <c r="A85" s="5"/>
      <c r="B85" s="6" t="s">
        <v>99</v>
      </c>
      <c r="C85" s="7"/>
      <c r="D85" s="7"/>
      <c r="E85" s="8" t="n">
        <v>1</v>
      </c>
      <c r="F85" s="9" t="n">
        <v>50</v>
      </c>
      <c r="G85" s="9" t="n">
        <f aca="false">E85*F85</f>
        <v>50</v>
      </c>
      <c r="H85" s="10" t="s">
        <v>16</v>
      </c>
    </row>
    <row r="86" customFormat="false" ht="15" hidden="false" customHeight="false" outlineLevel="0" collapsed="false">
      <c r="A86" s="5"/>
      <c r="B86" s="6" t="s">
        <v>100</v>
      </c>
      <c r="C86" s="7"/>
      <c r="D86" s="7"/>
      <c r="E86" s="8" t="n">
        <v>1</v>
      </c>
      <c r="F86" s="9" t="n">
        <v>70</v>
      </c>
      <c r="G86" s="9" t="n">
        <f aca="false">E86*F86</f>
        <v>70</v>
      </c>
      <c r="H86" s="10" t="s">
        <v>16</v>
      </c>
    </row>
    <row r="87" customFormat="false" ht="15" hidden="false" customHeight="false" outlineLevel="0" collapsed="false">
      <c r="A87" s="5"/>
      <c r="B87" s="6" t="s">
        <v>101</v>
      </c>
      <c r="C87" s="7"/>
      <c r="D87" s="7"/>
      <c r="E87" s="8" t="n">
        <v>1</v>
      </c>
      <c r="F87" s="9" t="n">
        <v>60</v>
      </c>
      <c r="G87" s="9" t="n">
        <f aca="false">E87*F87</f>
        <v>60</v>
      </c>
      <c r="H87" s="10" t="s">
        <v>16</v>
      </c>
    </row>
    <row r="88" customFormat="false" ht="15" hidden="false" customHeight="false" outlineLevel="0" collapsed="false">
      <c r="A88" s="5"/>
      <c r="B88" s="6" t="s">
        <v>102</v>
      </c>
      <c r="C88" s="7"/>
      <c r="D88" s="7"/>
      <c r="E88" s="8" t="n">
        <v>3</v>
      </c>
      <c r="F88" s="9" t="n">
        <v>30</v>
      </c>
      <c r="G88" s="9" t="n">
        <f aca="false">E88*F88</f>
        <v>90</v>
      </c>
      <c r="H88" s="10" t="s">
        <v>21</v>
      </c>
    </row>
    <row r="89" customFormat="false" ht="15" hidden="false" customHeight="false" outlineLevel="0" collapsed="false">
      <c r="A89" s="11"/>
      <c r="B89" s="12" t="s">
        <v>103</v>
      </c>
      <c r="C89" s="11"/>
      <c r="D89" s="11"/>
      <c r="E89" s="11"/>
      <c r="F89" s="11"/>
      <c r="G89" s="13" t="n">
        <f aca="false">SUM(G82:G88)</f>
        <v>615</v>
      </c>
      <c r="H89" s="11"/>
    </row>
    <row r="91" customFormat="false" ht="15" hidden="false" customHeight="false" outlineLevel="0" collapsed="false">
      <c r="A91" s="4" t="s">
        <v>104</v>
      </c>
      <c r="B91" s="4"/>
      <c r="C91" s="4"/>
      <c r="D91" s="4"/>
      <c r="E91" s="4"/>
      <c r="F91" s="4"/>
      <c r="G91" s="4"/>
      <c r="H91" s="4"/>
    </row>
    <row r="92" customFormat="false" ht="15" hidden="false" customHeight="false" outlineLevel="0" collapsed="false">
      <c r="A92" s="5"/>
      <c r="B92" s="6" t="s">
        <v>105</v>
      </c>
      <c r="C92" s="7"/>
      <c r="D92" s="7"/>
      <c r="E92" s="8" t="n">
        <v>8</v>
      </c>
      <c r="F92" s="9" t="n">
        <v>30</v>
      </c>
      <c r="G92" s="9" t="n">
        <f aca="false">E92*F92</f>
        <v>240</v>
      </c>
      <c r="H92" s="10" t="s">
        <v>16</v>
      </c>
    </row>
    <row r="93" customFormat="false" ht="15" hidden="false" customHeight="false" outlineLevel="0" collapsed="false">
      <c r="A93" s="5"/>
      <c r="B93" s="6" t="s">
        <v>106</v>
      </c>
      <c r="C93" s="7"/>
      <c r="D93" s="7"/>
      <c r="E93" s="8" t="n">
        <v>4</v>
      </c>
      <c r="F93" s="9" t="n">
        <v>15</v>
      </c>
      <c r="G93" s="9" t="n">
        <f aca="false">E93*F93</f>
        <v>60</v>
      </c>
      <c r="H93" s="10" t="s">
        <v>16</v>
      </c>
    </row>
    <row r="94" customFormat="false" ht="15" hidden="false" customHeight="false" outlineLevel="0" collapsed="false">
      <c r="A94" s="5"/>
      <c r="B94" s="6" t="s">
        <v>107</v>
      </c>
      <c r="C94" s="7"/>
      <c r="D94" s="7"/>
      <c r="E94" s="8" t="n">
        <v>1</v>
      </c>
      <c r="F94" s="9" t="n">
        <v>80</v>
      </c>
      <c r="G94" s="9" t="n">
        <f aca="false">E94*F94</f>
        <v>80</v>
      </c>
      <c r="H94" s="10" t="s">
        <v>72</v>
      </c>
    </row>
    <row r="95" customFormat="false" ht="15" hidden="false" customHeight="false" outlineLevel="0" collapsed="false">
      <c r="A95" s="5"/>
      <c r="B95" s="6" t="s">
        <v>108</v>
      </c>
      <c r="C95" s="7"/>
      <c r="D95" s="7"/>
      <c r="E95" s="8" t="n">
        <v>1</v>
      </c>
      <c r="F95" s="9" t="n">
        <v>80</v>
      </c>
      <c r="G95" s="9" t="n">
        <f aca="false">E95*F95</f>
        <v>80</v>
      </c>
      <c r="H95" s="10" t="s">
        <v>72</v>
      </c>
    </row>
    <row r="96" customFormat="false" ht="15" hidden="false" customHeight="false" outlineLevel="0" collapsed="false">
      <c r="A96" s="11"/>
      <c r="B96" s="12" t="s">
        <v>109</v>
      </c>
      <c r="C96" s="11"/>
      <c r="D96" s="11"/>
      <c r="E96" s="11"/>
      <c r="F96" s="11"/>
      <c r="G96" s="13" t="n">
        <f aca="false">SUM(G92:G95)</f>
        <v>460</v>
      </c>
      <c r="H96" s="11"/>
    </row>
    <row r="98" customFormat="false" ht="15" hidden="false" customHeight="false" outlineLevel="0" collapsed="false">
      <c r="A98" s="4" t="s">
        <v>110</v>
      </c>
      <c r="B98" s="4"/>
      <c r="C98" s="4"/>
      <c r="D98" s="4"/>
      <c r="E98" s="4"/>
      <c r="F98" s="4"/>
      <c r="G98" s="4"/>
      <c r="H98" s="4"/>
    </row>
    <row r="99" customFormat="false" ht="15" hidden="false" customHeight="false" outlineLevel="0" collapsed="false">
      <c r="A99" s="5"/>
      <c r="B99" s="6" t="s">
        <v>111</v>
      </c>
      <c r="C99" s="7"/>
      <c r="D99" s="7"/>
      <c r="E99" s="8" t="n">
        <v>3</v>
      </c>
      <c r="F99" s="9" t="n">
        <v>15</v>
      </c>
      <c r="G99" s="9" t="n">
        <f aca="false">E99*F99</f>
        <v>45</v>
      </c>
      <c r="H99" s="10" t="s">
        <v>16</v>
      </c>
    </row>
    <row r="100" customFormat="false" ht="15" hidden="false" customHeight="false" outlineLevel="0" collapsed="false">
      <c r="A100" s="5"/>
      <c r="B100" s="6" t="s">
        <v>112</v>
      </c>
      <c r="C100" s="7"/>
      <c r="D100" s="7"/>
      <c r="E100" s="8" t="n">
        <v>4</v>
      </c>
      <c r="F100" s="9" t="n">
        <v>25</v>
      </c>
      <c r="G100" s="9" t="n">
        <f aca="false">E100*F100</f>
        <v>100</v>
      </c>
      <c r="H100" s="10" t="s">
        <v>16</v>
      </c>
    </row>
    <row r="101" customFormat="false" ht="15" hidden="false" customHeight="false" outlineLevel="0" collapsed="false">
      <c r="A101" s="5"/>
      <c r="B101" s="6" t="s">
        <v>113</v>
      </c>
      <c r="C101" s="7"/>
      <c r="D101" s="7"/>
      <c r="E101" s="8" t="n">
        <v>1</v>
      </c>
      <c r="F101" s="9" t="n">
        <v>60</v>
      </c>
      <c r="G101" s="9" t="n">
        <f aca="false">E101*F101</f>
        <v>60</v>
      </c>
      <c r="H101" s="10" t="s">
        <v>114</v>
      </c>
    </row>
    <row r="102" customFormat="false" ht="15" hidden="false" customHeight="false" outlineLevel="0" collapsed="false">
      <c r="A102" s="5"/>
      <c r="B102" s="6" t="s">
        <v>115</v>
      </c>
      <c r="C102" s="7"/>
      <c r="D102" s="7"/>
      <c r="E102" s="8" t="n">
        <v>1</v>
      </c>
      <c r="F102" s="9" t="n">
        <v>80</v>
      </c>
      <c r="G102" s="9" t="n">
        <f aca="false">E102*F102</f>
        <v>80</v>
      </c>
      <c r="H102" s="10" t="s">
        <v>114</v>
      </c>
    </row>
    <row r="103" customFormat="false" ht="15" hidden="false" customHeight="false" outlineLevel="0" collapsed="false">
      <c r="A103" s="5"/>
      <c r="B103" s="6" t="s">
        <v>116</v>
      </c>
      <c r="C103" s="7"/>
      <c r="D103" s="7"/>
      <c r="E103" s="8" t="n">
        <v>1</v>
      </c>
      <c r="F103" s="9" t="n">
        <v>40</v>
      </c>
      <c r="G103" s="9" t="n">
        <f aca="false">E103*F103</f>
        <v>40</v>
      </c>
      <c r="H103" s="10" t="s">
        <v>16</v>
      </c>
    </row>
    <row r="104" customFormat="false" ht="15" hidden="false" customHeight="false" outlineLevel="0" collapsed="false">
      <c r="A104" s="5"/>
      <c r="B104" s="6" t="s">
        <v>117</v>
      </c>
      <c r="C104" s="7"/>
      <c r="D104" s="7"/>
      <c r="E104" s="8" t="n">
        <v>1</v>
      </c>
      <c r="F104" s="9" t="n">
        <v>120</v>
      </c>
      <c r="G104" s="9" t="n">
        <f aca="false">E104*F104</f>
        <v>120</v>
      </c>
      <c r="H104" s="10" t="s">
        <v>21</v>
      </c>
    </row>
    <row r="105" customFormat="false" ht="15" hidden="false" customHeight="false" outlineLevel="0" collapsed="false">
      <c r="A105" s="11"/>
      <c r="B105" s="12" t="s">
        <v>118</v>
      </c>
      <c r="C105" s="11"/>
      <c r="D105" s="11"/>
      <c r="E105" s="11"/>
      <c r="F105" s="11"/>
      <c r="G105" s="13" t="n">
        <f aca="false">SUM(G99:G104)</f>
        <v>445</v>
      </c>
      <c r="H105" s="11"/>
    </row>
    <row r="107" customFormat="false" ht="15" hidden="false" customHeight="false" outlineLevel="0" collapsed="false">
      <c r="A107" s="4" t="s">
        <v>119</v>
      </c>
      <c r="B107" s="4"/>
      <c r="C107" s="4"/>
      <c r="D107" s="4"/>
      <c r="E107" s="4"/>
      <c r="F107" s="4"/>
      <c r="G107" s="4"/>
      <c r="H107" s="4"/>
    </row>
    <row r="108" customFormat="false" ht="15" hidden="false" customHeight="false" outlineLevel="0" collapsed="false">
      <c r="A108" s="5"/>
      <c r="B108" s="6" t="s">
        <v>120</v>
      </c>
      <c r="C108" s="7"/>
      <c r="D108" s="7"/>
      <c r="E108" s="8" t="n">
        <v>8</v>
      </c>
      <c r="F108" s="9" t="n">
        <v>15</v>
      </c>
      <c r="G108" s="9" t="n">
        <f aca="false">E108*F108</f>
        <v>120</v>
      </c>
      <c r="H108" s="10" t="s">
        <v>16</v>
      </c>
    </row>
    <row r="109" customFormat="false" ht="15" hidden="false" customHeight="false" outlineLevel="0" collapsed="false">
      <c r="A109" s="5"/>
      <c r="B109" s="6" t="s">
        <v>121</v>
      </c>
      <c r="C109" s="7"/>
      <c r="D109" s="7"/>
      <c r="E109" s="8" t="n">
        <v>1</v>
      </c>
      <c r="F109" s="9" t="n">
        <v>45</v>
      </c>
      <c r="G109" s="9" t="n">
        <f aca="false">E109*F109</f>
        <v>45</v>
      </c>
      <c r="H109" s="10" t="s">
        <v>16</v>
      </c>
    </row>
    <row r="110" customFormat="false" ht="22.35" hidden="false" customHeight="false" outlineLevel="0" collapsed="false">
      <c r="A110" s="5"/>
      <c r="B110" s="6" t="s">
        <v>122</v>
      </c>
      <c r="C110" s="7"/>
      <c r="D110" s="7"/>
      <c r="E110" s="8" t="n">
        <v>1</v>
      </c>
      <c r="F110" s="9" t="n">
        <v>55</v>
      </c>
      <c r="G110" s="9" t="n">
        <f aca="false">E110*F110</f>
        <v>55</v>
      </c>
      <c r="H110" s="10" t="s">
        <v>123</v>
      </c>
    </row>
    <row r="111" customFormat="false" ht="15" hidden="false" customHeight="false" outlineLevel="0" collapsed="false">
      <c r="A111" s="5"/>
      <c r="B111" s="6" t="s">
        <v>124</v>
      </c>
      <c r="C111" s="7"/>
      <c r="D111" s="7"/>
      <c r="E111" s="8" t="n">
        <v>1</v>
      </c>
      <c r="F111" s="9" t="n">
        <v>40</v>
      </c>
      <c r="G111" s="9" t="n">
        <f aca="false">E111*F111</f>
        <v>40</v>
      </c>
      <c r="H111" s="10" t="s">
        <v>16</v>
      </c>
    </row>
    <row r="112" customFormat="false" ht="15" hidden="false" customHeight="false" outlineLevel="0" collapsed="false">
      <c r="A112" s="5"/>
      <c r="B112" s="6" t="s">
        <v>125</v>
      </c>
      <c r="C112" s="7"/>
      <c r="D112" s="7"/>
      <c r="E112" s="8" t="n">
        <v>2</v>
      </c>
      <c r="F112" s="9" t="n">
        <v>17.5</v>
      </c>
      <c r="G112" s="9" t="n">
        <f aca="false">E112*F112</f>
        <v>35</v>
      </c>
      <c r="H112" s="10" t="s">
        <v>16</v>
      </c>
    </row>
    <row r="113" customFormat="false" ht="15" hidden="false" customHeight="false" outlineLevel="0" collapsed="false">
      <c r="A113" s="11"/>
      <c r="B113" s="12" t="s">
        <v>126</v>
      </c>
      <c r="C113" s="11"/>
      <c r="D113" s="11"/>
      <c r="E113" s="11"/>
      <c r="F113" s="11"/>
      <c r="G113" s="13" t="n">
        <f aca="false">SUM(G108:G112)</f>
        <v>295</v>
      </c>
      <c r="H113" s="11"/>
    </row>
    <row r="115" customFormat="false" ht="15" hidden="false" customHeight="false" outlineLevel="0" collapsed="false">
      <c r="A115" s="4" t="s">
        <v>127</v>
      </c>
      <c r="B115" s="4"/>
      <c r="C115" s="4"/>
      <c r="D115" s="4"/>
      <c r="E115" s="4"/>
      <c r="F115" s="4"/>
      <c r="G115" s="4"/>
      <c r="H115" s="4"/>
    </row>
    <row r="116" customFormat="false" ht="15" hidden="false" customHeight="false" outlineLevel="0" collapsed="false">
      <c r="A116" s="5"/>
      <c r="B116" s="6" t="s">
        <v>128</v>
      </c>
      <c r="C116" s="7"/>
      <c r="D116" s="7"/>
      <c r="E116" s="8" t="n">
        <v>1</v>
      </c>
      <c r="F116" s="9" t="n">
        <v>60</v>
      </c>
      <c r="G116" s="9" t="n">
        <f aca="false">E116*F116</f>
        <v>60</v>
      </c>
      <c r="H116" s="10" t="s">
        <v>16</v>
      </c>
    </row>
    <row r="117" customFormat="false" ht="15" hidden="false" customHeight="false" outlineLevel="0" collapsed="false">
      <c r="A117" s="5"/>
      <c r="B117" s="6" t="s">
        <v>129</v>
      </c>
      <c r="C117" s="7"/>
      <c r="D117" s="7"/>
      <c r="E117" s="8" t="n">
        <v>1</v>
      </c>
      <c r="F117" s="9" t="n">
        <v>30</v>
      </c>
      <c r="G117" s="9" t="n">
        <f aca="false">E117*F117</f>
        <v>30</v>
      </c>
      <c r="H117" s="10" t="s">
        <v>16</v>
      </c>
    </row>
    <row r="118" customFormat="false" ht="15" hidden="false" customHeight="false" outlineLevel="0" collapsed="false">
      <c r="A118" s="5"/>
      <c r="B118" s="6" t="s">
        <v>130</v>
      </c>
      <c r="C118" s="7"/>
      <c r="D118" s="7"/>
      <c r="E118" s="8" t="n">
        <v>2</v>
      </c>
      <c r="F118" s="9" t="n">
        <v>25</v>
      </c>
      <c r="G118" s="9" t="n">
        <f aca="false">E118*F118</f>
        <v>50</v>
      </c>
      <c r="H118" s="10" t="s">
        <v>16</v>
      </c>
    </row>
    <row r="119" customFormat="false" ht="15" hidden="false" customHeight="false" outlineLevel="0" collapsed="false">
      <c r="A119" s="11"/>
      <c r="B119" s="12" t="s">
        <v>131</v>
      </c>
      <c r="C119" s="11"/>
      <c r="D119" s="11"/>
      <c r="E119" s="11"/>
      <c r="F119" s="11"/>
      <c r="G119" s="13" t="n">
        <f aca="false">SUM(G116:G118)</f>
        <v>140</v>
      </c>
      <c r="H119" s="11"/>
    </row>
    <row r="121" customFormat="false" ht="15" hidden="false" customHeight="false" outlineLevel="0" collapsed="false">
      <c r="A121" s="4" t="s">
        <v>132</v>
      </c>
      <c r="B121" s="4"/>
      <c r="C121" s="4"/>
      <c r="D121" s="4"/>
      <c r="E121" s="4"/>
      <c r="F121" s="4"/>
      <c r="G121" s="4"/>
      <c r="H121" s="4"/>
    </row>
    <row r="122" customFormat="false" ht="32.8" hidden="false" customHeight="false" outlineLevel="0" collapsed="false">
      <c r="A122" s="5"/>
      <c r="B122" s="6" t="s">
        <v>133</v>
      </c>
      <c r="C122" s="7"/>
      <c r="D122" s="7"/>
      <c r="E122" s="8" t="n">
        <v>13</v>
      </c>
      <c r="F122" s="9" t="n">
        <v>8</v>
      </c>
      <c r="G122" s="9" t="n">
        <f aca="false">E122*F122</f>
        <v>104</v>
      </c>
      <c r="H122" s="10" t="s">
        <v>134</v>
      </c>
    </row>
    <row r="123" customFormat="false" ht="15" hidden="false" customHeight="false" outlineLevel="0" collapsed="false">
      <c r="A123" s="5"/>
      <c r="B123" s="6" t="s">
        <v>135</v>
      </c>
      <c r="C123" s="7"/>
      <c r="D123" s="7"/>
      <c r="E123" s="8" t="n">
        <v>3</v>
      </c>
      <c r="F123" s="9" t="n">
        <v>10</v>
      </c>
      <c r="G123" s="9" t="n">
        <f aca="false">E123*F123</f>
        <v>30</v>
      </c>
      <c r="H123" s="10" t="s">
        <v>16</v>
      </c>
    </row>
    <row r="124" customFormat="false" ht="15" hidden="false" customHeight="false" outlineLevel="0" collapsed="false">
      <c r="A124" s="11"/>
      <c r="B124" s="12" t="s">
        <v>136</v>
      </c>
      <c r="C124" s="11"/>
      <c r="D124" s="11"/>
      <c r="E124" s="11"/>
      <c r="F124" s="11"/>
      <c r="G124" s="13" t="n">
        <f aca="false">SUM(G122:G123)</f>
        <v>134</v>
      </c>
      <c r="H124" s="11"/>
    </row>
    <row r="126" customFormat="false" ht="15" hidden="false" customHeight="false" outlineLevel="0" collapsed="false">
      <c r="A126" s="4" t="s">
        <v>137</v>
      </c>
      <c r="B126" s="4"/>
      <c r="C126" s="4"/>
      <c r="D126" s="4"/>
      <c r="E126" s="4"/>
      <c r="F126" s="4"/>
      <c r="G126" s="4"/>
      <c r="H126" s="4"/>
    </row>
    <row r="127" customFormat="false" ht="15" hidden="false" customHeight="false" outlineLevel="0" collapsed="false">
      <c r="A127" s="5"/>
      <c r="B127" s="6" t="s">
        <v>138</v>
      </c>
      <c r="C127" s="7"/>
      <c r="D127" s="7"/>
      <c r="E127" s="8" t="n">
        <v>5</v>
      </c>
      <c r="F127" s="9" t="n">
        <v>55</v>
      </c>
      <c r="G127" s="9" t="n">
        <f aca="false">E127*F127</f>
        <v>275</v>
      </c>
      <c r="H127" s="10" t="s">
        <v>16</v>
      </c>
    </row>
    <row r="128" customFormat="false" ht="15" hidden="false" customHeight="false" outlineLevel="0" collapsed="false">
      <c r="A128" s="5"/>
      <c r="B128" s="6" t="s">
        <v>139</v>
      </c>
      <c r="C128" s="7"/>
      <c r="D128" s="7"/>
      <c r="E128" s="8" t="n">
        <v>2</v>
      </c>
      <c r="F128" s="9" t="n">
        <v>60</v>
      </c>
      <c r="G128" s="9" t="n">
        <f aca="false">E128*F128</f>
        <v>120</v>
      </c>
      <c r="H128" s="10" t="s">
        <v>16</v>
      </c>
    </row>
    <row r="129" customFormat="false" ht="22.35" hidden="false" customHeight="false" outlineLevel="0" collapsed="false">
      <c r="A129" s="5"/>
      <c r="B129" s="6" t="s">
        <v>140</v>
      </c>
      <c r="C129" s="7"/>
      <c r="D129" s="7"/>
      <c r="E129" s="8" t="n">
        <v>15</v>
      </c>
      <c r="F129" s="9" t="n">
        <v>105</v>
      </c>
      <c r="G129" s="9" t="n">
        <f aca="false">E129*F129</f>
        <v>1575</v>
      </c>
      <c r="H129" s="10" t="s">
        <v>141</v>
      </c>
    </row>
    <row r="130" customFormat="false" ht="32.8" hidden="false" customHeight="false" outlineLevel="0" collapsed="false">
      <c r="A130" s="5"/>
      <c r="B130" s="6" t="s">
        <v>142</v>
      </c>
      <c r="C130" s="7"/>
      <c r="D130" s="7"/>
      <c r="E130" s="8" t="n">
        <v>2</v>
      </c>
      <c r="F130" s="9" t="n">
        <v>105</v>
      </c>
      <c r="G130" s="9" t="n">
        <f aca="false">E130*F130</f>
        <v>210</v>
      </c>
      <c r="H130" s="10" t="s">
        <v>143</v>
      </c>
    </row>
    <row r="131" customFormat="false" ht="15" hidden="false" customHeight="false" outlineLevel="0" collapsed="false">
      <c r="A131" s="5"/>
      <c r="B131" s="6" t="s">
        <v>144</v>
      </c>
      <c r="C131" s="7" t="s">
        <v>145</v>
      </c>
      <c r="D131" s="7" t="s">
        <v>146</v>
      </c>
      <c r="E131" s="8" t="n">
        <v>1</v>
      </c>
      <c r="F131" s="9" t="n">
        <v>149</v>
      </c>
      <c r="G131" s="9" t="n">
        <f aca="false">E131*F131</f>
        <v>149</v>
      </c>
      <c r="H131" s="10" t="s">
        <v>147</v>
      </c>
    </row>
    <row r="132" customFormat="false" ht="15" hidden="false" customHeight="false" outlineLevel="0" collapsed="false">
      <c r="A132" s="11"/>
      <c r="B132" s="12" t="s">
        <v>148</v>
      </c>
      <c r="C132" s="11"/>
      <c r="D132" s="11"/>
      <c r="E132" s="11"/>
      <c r="F132" s="11"/>
      <c r="G132" s="13" t="n">
        <f aca="false">SUM(G127:G131)</f>
        <v>2329</v>
      </c>
      <c r="H132" s="11"/>
    </row>
    <row r="134" customFormat="false" ht="15" hidden="false" customHeight="false" outlineLevel="0" collapsed="false">
      <c r="A134" s="4" t="s">
        <v>149</v>
      </c>
      <c r="B134" s="4"/>
      <c r="C134" s="4"/>
      <c r="D134" s="4"/>
      <c r="E134" s="4"/>
      <c r="F134" s="4"/>
      <c r="G134" s="4"/>
      <c r="H134" s="4"/>
    </row>
    <row r="135" customFormat="false" ht="22.35" hidden="false" customHeight="false" outlineLevel="0" collapsed="false">
      <c r="A135" s="5"/>
      <c r="B135" s="6" t="s">
        <v>150</v>
      </c>
      <c r="C135" s="7" t="s">
        <v>151</v>
      </c>
      <c r="D135" s="7"/>
      <c r="E135" s="8" t="n">
        <v>1</v>
      </c>
      <c r="F135" s="9" t="n">
        <v>279</v>
      </c>
      <c r="G135" s="9" t="n">
        <f aca="false">E135*F135</f>
        <v>279</v>
      </c>
      <c r="H135" s="10" t="s">
        <v>152</v>
      </c>
    </row>
    <row r="136" customFormat="false" ht="32.8" hidden="false" customHeight="false" outlineLevel="0" collapsed="false">
      <c r="A136" s="5"/>
      <c r="B136" s="6" t="s">
        <v>153</v>
      </c>
      <c r="C136" s="7" t="s">
        <v>154</v>
      </c>
      <c r="D136" s="7" t="s">
        <v>155</v>
      </c>
      <c r="E136" s="8" t="n">
        <v>1</v>
      </c>
      <c r="F136" s="9" t="n">
        <v>250</v>
      </c>
      <c r="G136" s="9" t="n">
        <f aca="false">E136*F136</f>
        <v>250</v>
      </c>
      <c r="H136" s="10" t="s">
        <v>156</v>
      </c>
    </row>
    <row r="137" customFormat="false" ht="22.35" hidden="false" customHeight="false" outlineLevel="0" collapsed="false">
      <c r="A137" s="5"/>
      <c r="B137" s="6" t="s">
        <v>157</v>
      </c>
      <c r="C137" s="7" t="s">
        <v>158</v>
      </c>
      <c r="D137" s="7" t="s">
        <v>159</v>
      </c>
      <c r="E137" s="8" t="n">
        <v>1</v>
      </c>
      <c r="F137" s="9" t="n">
        <v>249</v>
      </c>
      <c r="G137" s="9" t="n">
        <f aca="false">E137*F137</f>
        <v>249</v>
      </c>
      <c r="H137" s="10" t="s">
        <v>160</v>
      </c>
    </row>
    <row r="138" customFormat="false" ht="22.35" hidden="false" customHeight="false" outlineLevel="0" collapsed="false">
      <c r="A138" s="5"/>
      <c r="B138" s="6" t="s">
        <v>161</v>
      </c>
      <c r="C138" s="7" t="s">
        <v>162</v>
      </c>
      <c r="D138" s="7" t="s">
        <v>163</v>
      </c>
      <c r="E138" s="8" t="n">
        <v>1</v>
      </c>
      <c r="F138" s="9" t="n">
        <v>400</v>
      </c>
      <c r="G138" s="9" t="n">
        <f aca="false">E138*F138</f>
        <v>400</v>
      </c>
      <c r="H138" s="10" t="s">
        <v>164</v>
      </c>
    </row>
    <row r="139" customFormat="false" ht="22.35" hidden="false" customHeight="false" outlineLevel="0" collapsed="false">
      <c r="A139" s="5"/>
      <c r="B139" s="6" t="s">
        <v>165</v>
      </c>
      <c r="C139" s="7" t="s">
        <v>166</v>
      </c>
      <c r="D139" s="7" t="s">
        <v>167</v>
      </c>
      <c r="E139" s="8" t="n">
        <v>1</v>
      </c>
      <c r="F139" s="9" t="n">
        <v>229</v>
      </c>
      <c r="G139" s="9" t="n">
        <f aca="false">E139*F139</f>
        <v>229</v>
      </c>
      <c r="H139" s="10" t="s">
        <v>160</v>
      </c>
    </row>
    <row r="140" customFormat="false" ht="22.35" hidden="false" customHeight="false" outlineLevel="0" collapsed="false">
      <c r="A140" s="5"/>
      <c r="B140" s="6" t="s">
        <v>168</v>
      </c>
      <c r="C140" s="7" t="s">
        <v>169</v>
      </c>
      <c r="D140" s="7" t="s">
        <v>170</v>
      </c>
      <c r="E140" s="8" t="n">
        <v>1</v>
      </c>
      <c r="F140" s="9" t="n">
        <v>199</v>
      </c>
      <c r="G140" s="9" t="n">
        <f aca="false">E140*F140</f>
        <v>199</v>
      </c>
      <c r="H140" s="10" t="s">
        <v>160</v>
      </c>
    </row>
    <row r="141" customFormat="false" ht="22.35" hidden="false" customHeight="false" outlineLevel="0" collapsed="false">
      <c r="A141" s="5"/>
      <c r="B141" s="6" t="s">
        <v>171</v>
      </c>
      <c r="C141" s="7" t="s">
        <v>172</v>
      </c>
      <c r="D141" s="7" t="s">
        <v>173</v>
      </c>
      <c r="E141" s="8" t="n">
        <v>1</v>
      </c>
      <c r="F141" s="9" t="n">
        <v>449</v>
      </c>
      <c r="G141" s="9" t="n">
        <f aca="false">E141*F141</f>
        <v>449</v>
      </c>
      <c r="H141" s="10" t="s">
        <v>174</v>
      </c>
    </row>
    <row r="142" customFormat="false" ht="22.35" hidden="false" customHeight="false" outlineLevel="0" collapsed="false">
      <c r="A142" s="5"/>
      <c r="B142" s="6" t="s">
        <v>175</v>
      </c>
      <c r="C142" s="7" t="s">
        <v>176</v>
      </c>
      <c r="D142" s="7" t="s">
        <v>177</v>
      </c>
      <c r="E142" s="8" t="n">
        <v>1</v>
      </c>
      <c r="F142" s="9" t="n">
        <v>229</v>
      </c>
      <c r="G142" s="9" t="n">
        <f aca="false">E142*F142</f>
        <v>229</v>
      </c>
      <c r="H142" s="10" t="s">
        <v>152</v>
      </c>
    </row>
    <row r="143" customFormat="false" ht="15" hidden="false" customHeight="false" outlineLevel="0" collapsed="false">
      <c r="A143" s="5"/>
      <c r="B143" s="6" t="s">
        <v>178</v>
      </c>
      <c r="C143" s="7" t="s">
        <v>179</v>
      </c>
      <c r="D143" s="7"/>
      <c r="E143" s="8" t="n">
        <v>1</v>
      </c>
      <c r="F143" s="9" t="n">
        <v>25</v>
      </c>
      <c r="G143" s="9" t="n">
        <f aca="false">E143*F143</f>
        <v>25</v>
      </c>
      <c r="H143" s="10" t="s">
        <v>16</v>
      </c>
    </row>
    <row r="144" customFormat="false" ht="53.7" hidden="false" customHeight="false" outlineLevel="0" collapsed="false">
      <c r="A144" s="5"/>
      <c r="B144" s="6" t="s">
        <v>180</v>
      </c>
      <c r="C144" s="7"/>
      <c r="D144" s="7"/>
      <c r="E144" s="8" t="n">
        <v>1</v>
      </c>
      <c r="F144" s="9" t="n">
        <v>30</v>
      </c>
      <c r="G144" s="9" t="n">
        <f aca="false">E144*F144</f>
        <v>30</v>
      </c>
      <c r="H144" s="10" t="s">
        <v>181</v>
      </c>
    </row>
    <row r="145" customFormat="false" ht="105.95" hidden="false" customHeight="false" outlineLevel="0" collapsed="false">
      <c r="A145" s="5"/>
      <c r="B145" s="6" t="s">
        <v>182</v>
      </c>
      <c r="C145" s="7" t="s">
        <v>183</v>
      </c>
      <c r="D145" s="7" t="s">
        <v>184</v>
      </c>
      <c r="E145" s="8" t="n">
        <v>1</v>
      </c>
      <c r="F145" s="9" t="n">
        <v>3812.34</v>
      </c>
      <c r="G145" s="9" t="n">
        <f aca="false">E145*F145</f>
        <v>3812.34</v>
      </c>
      <c r="H145" s="10" t="s">
        <v>185</v>
      </c>
    </row>
    <row r="146" customFormat="false" ht="32.8" hidden="false" customHeight="false" outlineLevel="0" collapsed="false">
      <c r="A146" s="5"/>
      <c r="B146" s="6" t="s">
        <v>186</v>
      </c>
      <c r="C146" s="7" t="s">
        <v>187</v>
      </c>
      <c r="D146" s="7" t="s">
        <v>188</v>
      </c>
      <c r="E146" s="8" t="n">
        <v>1</v>
      </c>
      <c r="F146" s="9" t="n">
        <v>86.99</v>
      </c>
      <c r="G146" s="9" t="n">
        <f aca="false">E146*F146</f>
        <v>86.99</v>
      </c>
      <c r="H146" s="10" t="s">
        <v>189</v>
      </c>
    </row>
    <row r="147" customFormat="false" ht="43.25" hidden="false" customHeight="false" outlineLevel="0" collapsed="false">
      <c r="A147" s="5"/>
      <c r="B147" s="6" t="s">
        <v>190</v>
      </c>
      <c r="C147" s="7" t="s">
        <v>191</v>
      </c>
      <c r="D147" s="7" t="s">
        <v>192</v>
      </c>
      <c r="E147" s="8" t="n">
        <v>1</v>
      </c>
      <c r="F147" s="9" t="n">
        <v>149</v>
      </c>
      <c r="G147" s="9" t="n">
        <f aca="false">E147*F147</f>
        <v>149</v>
      </c>
      <c r="H147" s="10" t="s">
        <v>193</v>
      </c>
    </row>
    <row r="148" customFormat="false" ht="32.8" hidden="false" customHeight="false" outlineLevel="0" collapsed="false">
      <c r="A148" s="5"/>
      <c r="B148" s="6" t="s">
        <v>194</v>
      </c>
      <c r="C148" s="7" t="s">
        <v>195</v>
      </c>
      <c r="D148" s="7" t="s">
        <v>196</v>
      </c>
      <c r="E148" s="8" t="n">
        <v>1</v>
      </c>
      <c r="F148" s="9" t="n">
        <v>229</v>
      </c>
      <c r="G148" s="9" t="n">
        <f aca="false">E148*F148</f>
        <v>229</v>
      </c>
      <c r="H148" s="10" t="s">
        <v>197</v>
      </c>
    </row>
    <row r="149" customFormat="false" ht="32.8" hidden="false" customHeight="false" outlineLevel="0" collapsed="false">
      <c r="A149" s="5"/>
      <c r="B149" s="6" t="s">
        <v>198</v>
      </c>
      <c r="C149" s="7" t="s">
        <v>199</v>
      </c>
      <c r="D149" s="7" t="s">
        <v>200</v>
      </c>
      <c r="E149" s="8" t="n">
        <v>1</v>
      </c>
      <c r="F149" s="9" t="n">
        <v>179</v>
      </c>
      <c r="G149" s="9" t="n">
        <f aca="false">E149*F149</f>
        <v>179</v>
      </c>
      <c r="H149" s="10" t="s">
        <v>201</v>
      </c>
    </row>
    <row r="150" customFormat="false" ht="32.8" hidden="false" customHeight="false" outlineLevel="0" collapsed="false">
      <c r="A150" s="5"/>
      <c r="B150" s="6" t="s">
        <v>202</v>
      </c>
      <c r="C150" s="7" t="s">
        <v>203</v>
      </c>
      <c r="D150" s="7" t="s">
        <v>204</v>
      </c>
      <c r="E150" s="8" t="n">
        <v>1</v>
      </c>
      <c r="F150" s="9" t="n">
        <v>179</v>
      </c>
      <c r="G150" s="9" t="n">
        <f aca="false">E150*F150</f>
        <v>179</v>
      </c>
      <c r="H150" s="10" t="s">
        <v>205</v>
      </c>
    </row>
    <row r="151" customFormat="false" ht="32.8" hidden="false" customHeight="false" outlineLevel="0" collapsed="false">
      <c r="A151" s="5"/>
      <c r="B151" s="6" t="s">
        <v>206</v>
      </c>
      <c r="C151" s="7" t="s">
        <v>207</v>
      </c>
      <c r="D151" s="7" t="s">
        <v>208</v>
      </c>
      <c r="E151" s="8" t="n">
        <v>1</v>
      </c>
      <c r="F151" s="9" t="n">
        <v>324.97</v>
      </c>
      <c r="G151" s="9" t="n">
        <f aca="false">E151*F151</f>
        <v>324.97</v>
      </c>
      <c r="H151" s="10" t="s">
        <v>209</v>
      </c>
    </row>
    <row r="152" customFormat="false" ht="53.7" hidden="false" customHeight="false" outlineLevel="0" collapsed="false">
      <c r="A152" s="5"/>
      <c r="B152" s="6" t="s">
        <v>210</v>
      </c>
      <c r="C152" s="7" t="s">
        <v>211</v>
      </c>
      <c r="D152" s="7" t="s">
        <v>212</v>
      </c>
      <c r="E152" s="8" t="n">
        <v>1</v>
      </c>
      <c r="F152" s="9" t="n">
        <v>418.6</v>
      </c>
      <c r="G152" s="9" t="n">
        <f aca="false">E152*F152</f>
        <v>418.6</v>
      </c>
      <c r="H152" s="10" t="s">
        <v>213</v>
      </c>
    </row>
    <row r="153" customFormat="false" ht="15" hidden="false" customHeight="false" outlineLevel="0" collapsed="false">
      <c r="A153" s="11"/>
      <c r="B153" s="12" t="s">
        <v>214</v>
      </c>
      <c r="C153" s="11"/>
      <c r="D153" s="11"/>
      <c r="E153" s="11"/>
      <c r="F153" s="11"/>
      <c r="G153" s="13" t="n">
        <f aca="false">SUM(G135:G152)</f>
        <v>7717.9</v>
      </c>
      <c r="H153" s="11"/>
    </row>
    <row r="155" customFormat="false" ht="15" hidden="false" customHeight="false" outlineLevel="0" collapsed="false">
      <c r="A155" s="4" t="s">
        <v>215</v>
      </c>
      <c r="B155" s="4"/>
      <c r="C155" s="4"/>
      <c r="D155" s="4"/>
      <c r="E155" s="4"/>
      <c r="F155" s="4"/>
      <c r="G155" s="4"/>
      <c r="H155" s="4"/>
    </row>
    <row r="156" customFormat="false" ht="22.35" hidden="false" customHeight="false" outlineLevel="0" collapsed="false">
      <c r="A156" s="5"/>
      <c r="B156" s="6" t="s">
        <v>216</v>
      </c>
      <c r="C156" s="7"/>
      <c r="D156" s="7"/>
      <c r="E156" s="8" t="n">
        <v>1</v>
      </c>
      <c r="F156" s="9" t="n">
        <v>177.65</v>
      </c>
      <c r="G156" s="9" t="n">
        <f aca="false">E156*F156</f>
        <v>177.65</v>
      </c>
      <c r="H156" s="10" t="s">
        <v>81</v>
      </c>
    </row>
    <row r="157" customFormat="false" ht="22.35" hidden="false" customHeight="false" outlineLevel="0" collapsed="false">
      <c r="A157" s="5"/>
      <c r="B157" s="6" t="s">
        <v>217</v>
      </c>
      <c r="C157" s="7"/>
      <c r="D157" s="7"/>
      <c r="E157" s="8" t="n">
        <v>1</v>
      </c>
      <c r="F157" s="9" t="n">
        <v>160.65</v>
      </c>
      <c r="G157" s="9" t="n">
        <f aca="false">E157*F157</f>
        <v>160.65</v>
      </c>
      <c r="H157" s="10" t="s">
        <v>81</v>
      </c>
    </row>
    <row r="158" customFormat="false" ht="23.85" hidden="false" customHeight="false" outlineLevel="0" collapsed="false">
      <c r="A158" s="5"/>
      <c r="B158" s="6" t="s">
        <v>218</v>
      </c>
      <c r="C158" s="7"/>
      <c r="D158" s="7"/>
      <c r="E158" s="8" t="n">
        <v>1</v>
      </c>
      <c r="F158" s="9" t="n">
        <v>177.65</v>
      </c>
      <c r="G158" s="9" t="n">
        <f aca="false">E158*F158</f>
        <v>177.65</v>
      </c>
      <c r="H158" s="10" t="s">
        <v>219</v>
      </c>
    </row>
    <row r="159" customFormat="false" ht="22.35" hidden="false" customHeight="false" outlineLevel="0" collapsed="false">
      <c r="A159" s="5"/>
      <c r="B159" s="6" t="s">
        <v>220</v>
      </c>
      <c r="C159" s="7"/>
      <c r="D159" s="7"/>
      <c r="E159" s="8" t="n">
        <v>2</v>
      </c>
      <c r="F159" s="9" t="n">
        <v>151.13</v>
      </c>
      <c r="G159" s="9" t="n">
        <f aca="false">E159*F159</f>
        <v>302.26</v>
      </c>
      <c r="H159" s="10" t="s">
        <v>219</v>
      </c>
    </row>
    <row r="160" customFormat="false" ht="22.35" hidden="false" customHeight="false" outlineLevel="0" collapsed="false">
      <c r="A160" s="5"/>
      <c r="B160" s="6" t="s">
        <v>221</v>
      </c>
      <c r="C160" s="7"/>
      <c r="D160" s="7"/>
      <c r="E160" s="8" t="n">
        <v>2</v>
      </c>
      <c r="F160" s="9" t="n">
        <v>221</v>
      </c>
      <c r="G160" s="9" t="n">
        <f aca="false">E160*F160</f>
        <v>442</v>
      </c>
      <c r="H160" s="10" t="s">
        <v>222</v>
      </c>
    </row>
    <row r="161" customFormat="false" ht="22.35" hidden="false" customHeight="false" outlineLevel="0" collapsed="false">
      <c r="A161" s="5"/>
      <c r="B161" s="6" t="s">
        <v>223</v>
      </c>
      <c r="C161" s="7"/>
      <c r="D161" s="7"/>
      <c r="E161" s="8" t="n">
        <v>1</v>
      </c>
      <c r="F161" s="9" t="n">
        <v>159.95</v>
      </c>
      <c r="G161" s="9" t="n">
        <f aca="false">E161*F161</f>
        <v>159.95</v>
      </c>
      <c r="H161" s="10" t="s">
        <v>219</v>
      </c>
    </row>
    <row r="162" customFormat="false" ht="53.7" hidden="false" customHeight="false" outlineLevel="0" collapsed="false">
      <c r="A162" s="5"/>
      <c r="B162" s="6" t="s">
        <v>224</v>
      </c>
      <c r="C162" s="7" t="s">
        <v>225</v>
      </c>
      <c r="D162" s="7" t="s">
        <v>226</v>
      </c>
      <c r="E162" s="8" t="n">
        <v>2</v>
      </c>
      <c r="F162" s="9" t="n">
        <v>114.84</v>
      </c>
      <c r="G162" s="9" t="n">
        <f aca="false">E162*F162</f>
        <v>229.68</v>
      </c>
      <c r="H162" s="10" t="s">
        <v>227</v>
      </c>
    </row>
    <row r="163" customFormat="false" ht="15" hidden="false" customHeight="false" outlineLevel="0" collapsed="false">
      <c r="A163" s="11"/>
      <c r="B163" s="12" t="s">
        <v>228</v>
      </c>
      <c r="C163" s="11"/>
      <c r="D163" s="11"/>
      <c r="E163" s="11"/>
      <c r="F163" s="11"/>
      <c r="G163" s="13" t="n">
        <f aca="false">SUM(G156:G162)</f>
        <v>1649.84</v>
      </c>
      <c r="H163" s="11"/>
    </row>
    <row r="165" customFormat="false" ht="15" hidden="false" customHeight="false" outlineLevel="0" collapsed="false">
      <c r="A165" s="4" t="s">
        <v>229</v>
      </c>
      <c r="B165" s="4"/>
      <c r="C165" s="4"/>
      <c r="D165" s="4"/>
      <c r="E165" s="4"/>
      <c r="F165" s="4"/>
      <c r="G165" s="4"/>
      <c r="H165" s="4"/>
    </row>
    <row r="166" customFormat="false" ht="15" hidden="false" customHeight="false" outlineLevel="0" collapsed="false">
      <c r="A166" s="5"/>
      <c r="B166" s="6" t="s">
        <v>230</v>
      </c>
      <c r="C166" s="7"/>
      <c r="D166" s="7"/>
      <c r="E166" s="8" t="n">
        <v>1</v>
      </c>
      <c r="F166" s="9" t="n">
        <v>20</v>
      </c>
      <c r="G166" s="9" t="n">
        <f aca="false">E166*F166</f>
        <v>20</v>
      </c>
      <c r="H166" s="10" t="s">
        <v>16</v>
      </c>
    </row>
    <row r="167" customFormat="false" ht="22.35" hidden="false" customHeight="false" outlineLevel="0" collapsed="false">
      <c r="A167" s="5"/>
      <c r="B167" s="6" t="s">
        <v>231</v>
      </c>
      <c r="C167" s="7"/>
      <c r="D167" s="7"/>
      <c r="E167" s="8" t="n">
        <v>1</v>
      </c>
      <c r="F167" s="9" t="n">
        <v>15</v>
      </c>
      <c r="G167" s="9" t="n">
        <f aca="false">E167*F167</f>
        <v>15</v>
      </c>
      <c r="H167" s="10" t="s">
        <v>232</v>
      </c>
    </row>
    <row r="168" customFormat="false" ht="23.85" hidden="false" customHeight="false" outlineLevel="0" collapsed="false">
      <c r="A168" s="5"/>
      <c r="B168" s="6" t="s">
        <v>233</v>
      </c>
      <c r="C168" s="7"/>
      <c r="D168" s="7"/>
      <c r="E168" s="8" t="n">
        <v>1</v>
      </c>
      <c r="F168" s="9" t="n">
        <v>45</v>
      </c>
      <c r="G168" s="9" t="n">
        <f aca="false">E168*F168</f>
        <v>45</v>
      </c>
      <c r="H168" s="10" t="s">
        <v>16</v>
      </c>
    </row>
    <row r="169" customFormat="false" ht="15" hidden="false" customHeight="false" outlineLevel="0" collapsed="false">
      <c r="A169" s="5"/>
      <c r="B169" s="6" t="s">
        <v>234</v>
      </c>
      <c r="C169" s="7"/>
      <c r="D169" s="7"/>
      <c r="E169" s="8" t="n">
        <v>1</v>
      </c>
      <c r="F169" s="9" t="n">
        <v>30</v>
      </c>
      <c r="G169" s="9" t="n">
        <f aca="false">E169*F169</f>
        <v>30</v>
      </c>
      <c r="H169" s="10" t="s">
        <v>235</v>
      </c>
    </row>
    <row r="170" customFormat="false" ht="15" hidden="false" customHeight="false" outlineLevel="0" collapsed="false">
      <c r="A170" s="11"/>
      <c r="B170" s="12" t="s">
        <v>236</v>
      </c>
      <c r="C170" s="11"/>
      <c r="D170" s="11"/>
      <c r="E170" s="11"/>
      <c r="F170" s="11"/>
      <c r="G170" s="13" t="n">
        <f aca="false">SUM(G166:G169)</f>
        <v>110</v>
      </c>
      <c r="H170" s="11"/>
    </row>
    <row r="172" customFormat="false" ht="15" hidden="false" customHeight="false" outlineLevel="0" collapsed="false">
      <c r="A172" s="4" t="s">
        <v>237</v>
      </c>
      <c r="B172" s="4"/>
      <c r="C172" s="4"/>
      <c r="D172" s="4"/>
      <c r="E172" s="4"/>
      <c r="F172" s="4"/>
      <c r="G172" s="4"/>
      <c r="H172" s="4"/>
    </row>
    <row r="173" customFormat="false" ht="74.6" hidden="false" customHeight="false" outlineLevel="0" collapsed="false">
      <c r="A173" s="5"/>
      <c r="B173" s="6" t="s">
        <v>238</v>
      </c>
      <c r="C173" s="7" t="s">
        <v>239</v>
      </c>
      <c r="D173" s="7"/>
      <c r="E173" s="8" t="n">
        <v>1</v>
      </c>
      <c r="F173" s="9" t="n">
        <v>653.65</v>
      </c>
      <c r="G173" s="9" t="n">
        <f aca="false">E173*F173</f>
        <v>653.65</v>
      </c>
      <c r="H173" s="10" t="s">
        <v>240</v>
      </c>
    </row>
    <row r="174" customFormat="false" ht="15" hidden="false" customHeight="false" outlineLevel="0" collapsed="false">
      <c r="A174" s="11"/>
      <c r="B174" s="12" t="s">
        <v>241</v>
      </c>
      <c r="C174" s="11"/>
      <c r="D174" s="11"/>
      <c r="E174" s="11"/>
      <c r="F174" s="11"/>
      <c r="G174" s="13" t="n">
        <f aca="false">SUM(G173:G173)</f>
        <v>653.65</v>
      </c>
      <c r="H174" s="11"/>
    </row>
    <row r="176" customFormat="false" ht="15" hidden="false" customHeight="false" outlineLevel="0" collapsed="false">
      <c r="A176" s="4" t="s">
        <v>242</v>
      </c>
      <c r="B176" s="4"/>
      <c r="C176" s="4"/>
      <c r="D176" s="4"/>
      <c r="E176" s="4"/>
      <c r="F176" s="4"/>
      <c r="G176" s="4"/>
      <c r="H176" s="4"/>
    </row>
    <row r="177" customFormat="false" ht="35.05" hidden="false" customHeight="false" outlineLevel="0" collapsed="false">
      <c r="A177" s="5"/>
      <c r="B177" s="6" t="s">
        <v>243</v>
      </c>
      <c r="C177" s="7"/>
      <c r="D177" s="7"/>
      <c r="E177" s="8" t="n">
        <v>1</v>
      </c>
      <c r="F177" s="9" t="n">
        <v>150</v>
      </c>
      <c r="G177" s="9" t="n">
        <f aca="false">E177*F177</f>
        <v>150</v>
      </c>
      <c r="H177" s="10" t="s">
        <v>72</v>
      </c>
    </row>
    <row r="178" customFormat="false" ht="15" hidden="false" customHeight="false" outlineLevel="0" collapsed="false">
      <c r="A178" s="11"/>
      <c r="B178" s="12" t="s">
        <v>244</v>
      </c>
      <c r="C178" s="11"/>
      <c r="D178" s="11"/>
      <c r="E178" s="11"/>
      <c r="F178" s="11"/>
      <c r="G178" s="13" t="n">
        <f aca="false">SUM(G177:G177)</f>
        <v>150</v>
      </c>
      <c r="H178" s="11"/>
    </row>
    <row r="180" customFormat="false" ht="15" hidden="false" customHeight="false" outlineLevel="0" collapsed="false">
      <c r="A180" s="4" t="s">
        <v>245</v>
      </c>
      <c r="B180" s="4"/>
      <c r="C180" s="4"/>
      <c r="D180" s="4"/>
      <c r="E180" s="4"/>
      <c r="F180" s="4"/>
      <c r="G180" s="4"/>
      <c r="H180" s="4"/>
    </row>
    <row r="181" customFormat="false" ht="23.85" hidden="false" customHeight="false" outlineLevel="0" collapsed="false">
      <c r="A181" s="5"/>
      <c r="B181" s="6" t="s">
        <v>246</v>
      </c>
      <c r="C181" s="7" t="s">
        <v>247</v>
      </c>
      <c r="D181" s="7"/>
      <c r="E181" s="8" t="n">
        <v>1</v>
      </c>
      <c r="F181" s="9" t="n">
        <v>299.99</v>
      </c>
      <c r="G181" s="9" t="n">
        <f aca="false">E181*F181</f>
        <v>299.99</v>
      </c>
      <c r="H181" s="10" t="s">
        <v>160</v>
      </c>
    </row>
    <row r="182" customFormat="false" ht="23.85" hidden="false" customHeight="false" outlineLevel="0" collapsed="false">
      <c r="A182" s="5"/>
      <c r="B182" s="6" t="s">
        <v>248</v>
      </c>
      <c r="C182" s="7"/>
      <c r="D182" s="7"/>
      <c r="E182" s="8" t="n">
        <v>1</v>
      </c>
      <c r="F182" s="9" t="n">
        <v>60</v>
      </c>
      <c r="G182" s="9" t="n">
        <f aca="false">E182*F182</f>
        <v>60</v>
      </c>
      <c r="H182" s="10" t="s">
        <v>72</v>
      </c>
    </row>
    <row r="183" customFormat="false" ht="15" hidden="false" customHeight="false" outlineLevel="0" collapsed="false">
      <c r="A183" s="11"/>
      <c r="B183" s="12" t="s">
        <v>249</v>
      </c>
      <c r="C183" s="11"/>
      <c r="D183" s="11"/>
      <c r="E183" s="11"/>
      <c r="F183" s="11"/>
      <c r="G183" s="13" t="n">
        <f aca="false">SUM(G181:G182)</f>
        <v>359.99</v>
      </c>
      <c r="H183" s="11"/>
    </row>
    <row r="185" customFormat="false" ht="15" hidden="false" customHeight="false" outlineLevel="0" collapsed="false">
      <c r="A185" s="4" t="s">
        <v>250</v>
      </c>
      <c r="B185" s="4"/>
      <c r="C185" s="4"/>
      <c r="D185" s="4"/>
      <c r="E185" s="4"/>
      <c r="F185" s="4"/>
      <c r="G185" s="4"/>
      <c r="H185" s="4"/>
    </row>
    <row r="186" customFormat="false" ht="15" hidden="false" customHeight="false" outlineLevel="0" collapsed="false">
      <c r="A186" s="5"/>
      <c r="B186" s="6" t="s">
        <v>251</v>
      </c>
      <c r="C186" s="7"/>
      <c r="D186" s="7"/>
      <c r="E186" s="8" t="n">
        <v>1</v>
      </c>
      <c r="F186" s="9" t="n">
        <v>130</v>
      </c>
      <c r="G186" s="9" t="n">
        <f aca="false">E186*F186</f>
        <v>130</v>
      </c>
      <c r="H186" s="10" t="s">
        <v>16</v>
      </c>
    </row>
    <row r="187" customFormat="false" ht="15" hidden="false" customHeight="false" outlineLevel="0" collapsed="false">
      <c r="A187" s="11"/>
      <c r="B187" s="12" t="s">
        <v>252</v>
      </c>
      <c r="C187" s="11"/>
      <c r="D187" s="11"/>
      <c r="E187" s="11"/>
      <c r="F187" s="11"/>
      <c r="G187" s="13" t="n">
        <f aca="false">SUM(G186:G186)</f>
        <v>130</v>
      </c>
      <c r="H187" s="11"/>
    </row>
    <row r="189" customFormat="false" ht="15" hidden="false" customHeight="false" outlineLevel="0" collapsed="false">
      <c r="A189" s="4" t="s">
        <v>253</v>
      </c>
      <c r="B189" s="4"/>
      <c r="C189" s="4"/>
      <c r="D189" s="4"/>
      <c r="E189" s="4"/>
      <c r="F189" s="4"/>
      <c r="G189" s="4"/>
      <c r="H189" s="4"/>
    </row>
    <row r="190" customFormat="false" ht="35.05" hidden="false" customHeight="false" outlineLevel="0" collapsed="false">
      <c r="A190" s="5"/>
      <c r="B190" s="6" t="s">
        <v>254</v>
      </c>
      <c r="C190" s="7"/>
      <c r="D190" s="7"/>
      <c r="E190" s="8" t="n">
        <v>1</v>
      </c>
      <c r="F190" s="9" t="n">
        <v>90</v>
      </c>
      <c r="G190" s="9" t="n">
        <f aca="false">E190*F190</f>
        <v>90</v>
      </c>
      <c r="H190" s="10" t="s">
        <v>72</v>
      </c>
    </row>
    <row r="191" customFormat="false" ht="15" hidden="false" customHeight="false" outlineLevel="0" collapsed="false">
      <c r="A191" s="11"/>
      <c r="B191" s="12" t="s">
        <v>255</v>
      </c>
      <c r="C191" s="11"/>
      <c r="D191" s="11"/>
      <c r="E191" s="11"/>
      <c r="F191" s="11"/>
      <c r="G191" s="13" t="n">
        <f aca="false">SUM(G190:G190)</f>
        <v>90</v>
      </c>
      <c r="H191" s="11"/>
    </row>
    <row r="193" customFormat="false" ht="15" hidden="false" customHeight="false" outlineLevel="0" collapsed="false">
      <c r="A193" s="4" t="s">
        <v>256</v>
      </c>
      <c r="B193" s="4"/>
      <c r="C193" s="4"/>
      <c r="D193" s="4"/>
      <c r="E193" s="4"/>
      <c r="F193" s="4"/>
      <c r="G193" s="4"/>
      <c r="H193" s="4"/>
    </row>
    <row r="194" customFormat="false" ht="15" hidden="false" customHeight="false" outlineLevel="0" collapsed="false">
      <c r="A194" s="5"/>
      <c r="B194" s="6" t="s">
        <v>257</v>
      </c>
      <c r="C194" s="7"/>
      <c r="D194" s="7"/>
      <c r="E194" s="8" t="n">
        <v>3</v>
      </c>
      <c r="F194" s="9" t="n">
        <v>12</v>
      </c>
      <c r="G194" s="9" t="n">
        <f aca="false">E194*F194</f>
        <v>36</v>
      </c>
      <c r="H194" s="10" t="s">
        <v>16</v>
      </c>
    </row>
    <row r="195" customFormat="false" ht="15" hidden="false" customHeight="false" outlineLevel="0" collapsed="false">
      <c r="A195" s="5"/>
      <c r="B195" s="6" t="s">
        <v>258</v>
      </c>
      <c r="C195" s="7"/>
      <c r="D195" s="7"/>
      <c r="E195" s="8" t="n">
        <v>1</v>
      </c>
      <c r="F195" s="9" t="n">
        <v>15</v>
      </c>
      <c r="G195" s="9" t="n">
        <f aca="false">E195*F195</f>
        <v>15</v>
      </c>
      <c r="H195" s="10" t="s">
        <v>16</v>
      </c>
    </row>
    <row r="196" customFormat="false" ht="23.85" hidden="false" customHeight="false" outlineLevel="0" collapsed="false">
      <c r="A196" s="5"/>
      <c r="B196" s="6" t="s">
        <v>259</v>
      </c>
      <c r="C196" s="7"/>
      <c r="D196" s="7"/>
      <c r="E196" s="8" t="n">
        <v>2</v>
      </c>
      <c r="F196" s="9" t="n">
        <v>30</v>
      </c>
      <c r="G196" s="9" t="n">
        <f aca="false">E196*F196</f>
        <v>60</v>
      </c>
      <c r="H196" s="10" t="s">
        <v>16</v>
      </c>
    </row>
    <row r="197" customFormat="false" ht="15" hidden="false" customHeight="false" outlineLevel="0" collapsed="false">
      <c r="A197" s="5"/>
      <c r="B197" s="6" t="s">
        <v>260</v>
      </c>
      <c r="C197" s="7"/>
      <c r="D197" s="7"/>
      <c r="E197" s="8" t="n">
        <v>1</v>
      </c>
      <c r="F197" s="9" t="n">
        <v>65</v>
      </c>
      <c r="G197" s="9" t="n">
        <f aca="false">E197*F197</f>
        <v>65</v>
      </c>
      <c r="H197" s="10" t="s">
        <v>16</v>
      </c>
    </row>
    <row r="198" customFormat="false" ht="15" hidden="false" customHeight="false" outlineLevel="0" collapsed="false">
      <c r="A198" s="5"/>
      <c r="B198" s="6" t="s">
        <v>261</v>
      </c>
      <c r="C198" s="7"/>
      <c r="D198" s="7"/>
      <c r="E198" s="8" t="n">
        <v>1</v>
      </c>
      <c r="F198" s="9" t="n">
        <v>40</v>
      </c>
      <c r="G198" s="9" t="n">
        <f aca="false">E198*F198</f>
        <v>40</v>
      </c>
      <c r="H198" s="10" t="s">
        <v>16</v>
      </c>
    </row>
    <row r="199" customFormat="false" ht="22.35" hidden="false" customHeight="false" outlineLevel="0" collapsed="false">
      <c r="A199" s="5"/>
      <c r="B199" s="6" t="s">
        <v>262</v>
      </c>
      <c r="C199" s="7"/>
      <c r="D199" s="7"/>
      <c r="E199" s="8" t="n">
        <v>2</v>
      </c>
      <c r="F199" s="9" t="n">
        <v>35</v>
      </c>
      <c r="G199" s="9" t="n">
        <f aca="false">E199*F199</f>
        <v>70</v>
      </c>
      <c r="H199" s="10" t="s">
        <v>263</v>
      </c>
    </row>
    <row r="200" customFormat="false" ht="15" hidden="false" customHeight="false" outlineLevel="0" collapsed="false">
      <c r="A200" s="5"/>
      <c r="B200" s="6" t="s">
        <v>264</v>
      </c>
      <c r="C200" s="7"/>
      <c r="D200" s="7"/>
      <c r="E200" s="8" t="n">
        <v>1</v>
      </c>
      <c r="F200" s="9" t="n">
        <v>20</v>
      </c>
      <c r="G200" s="9" t="n">
        <f aca="false">E200*F200</f>
        <v>20</v>
      </c>
      <c r="H200" s="10" t="s">
        <v>16</v>
      </c>
    </row>
    <row r="201" customFormat="false" ht="22.35" hidden="false" customHeight="false" outlineLevel="0" collapsed="false">
      <c r="A201" s="5"/>
      <c r="B201" s="6" t="s">
        <v>265</v>
      </c>
      <c r="C201" s="7"/>
      <c r="D201" s="7"/>
      <c r="E201" s="8" t="n">
        <v>1</v>
      </c>
      <c r="F201" s="9" t="n">
        <v>15</v>
      </c>
      <c r="G201" s="9" t="n">
        <f aca="false">E201*F201</f>
        <v>15</v>
      </c>
      <c r="H201" s="10" t="s">
        <v>266</v>
      </c>
    </row>
    <row r="202" customFormat="false" ht="15" hidden="false" customHeight="false" outlineLevel="0" collapsed="false">
      <c r="A202" s="5"/>
      <c r="B202" s="6" t="s">
        <v>267</v>
      </c>
      <c r="C202" s="7"/>
      <c r="D202" s="7"/>
      <c r="E202" s="8" t="n">
        <v>2</v>
      </c>
      <c r="F202" s="9" t="n">
        <v>35</v>
      </c>
      <c r="G202" s="9" t="n">
        <f aca="false">E202*F202</f>
        <v>70</v>
      </c>
      <c r="H202" s="10" t="s">
        <v>16</v>
      </c>
    </row>
    <row r="203" customFormat="false" ht="15" hidden="false" customHeight="false" outlineLevel="0" collapsed="false">
      <c r="A203" s="11"/>
      <c r="B203" s="12" t="s">
        <v>268</v>
      </c>
      <c r="C203" s="11"/>
      <c r="D203" s="11"/>
      <c r="E203" s="11"/>
      <c r="F203" s="11"/>
      <c r="G203" s="13" t="n">
        <f aca="false">SUM(G194:G202)</f>
        <v>391</v>
      </c>
      <c r="H203" s="11"/>
    </row>
    <row r="205" customFormat="false" ht="15" hidden="false" customHeight="false" outlineLevel="0" collapsed="false">
      <c r="A205" s="4" t="s">
        <v>269</v>
      </c>
      <c r="B205" s="4"/>
      <c r="C205" s="4"/>
      <c r="D205" s="4"/>
      <c r="E205" s="4"/>
      <c r="F205" s="4"/>
      <c r="G205" s="4"/>
      <c r="H205" s="4"/>
    </row>
    <row r="206" customFormat="false" ht="35.05" hidden="false" customHeight="false" outlineLevel="0" collapsed="false">
      <c r="A206" s="5"/>
      <c r="B206" s="6" t="s">
        <v>270</v>
      </c>
      <c r="C206" s="7"/>
      <c r="D206" s="7"/>
      <c r="E206" s="8" t="n">
        <v>1</v>
      </c>
      <c r="F206" s="9" t="n">
        <v>120</v>
      </c>
      <c r="G206" s="9" t="n">
        <f aca="false">E206*F206</f>
        <v>120</v>
      </c>
      <c r="H206" s="10" t="s">
        <v>72</v>
      </c>
    </row>
    <row r="207" customFormat="false" ht="15" hidden="false" customHeight="false" outlineLevel="0" collapsed="false">
      <c r="A207" s="5"/>
      <c r="B207" s="6" t="s">
        <v>271</v>
      </c>
      <c r="C207" s="7"/>
      <c r="D207" s="7"/>
      <c r="E207" s="8" t="n">
        <v>1</v>
      </c>
      <c r="F207" s="9" t="n">
        <v>230</v>
      </c>
      <c r="G207" s="9" t="n">
        <f aca="false">E207*F207</f>
        <v>230</v>
      </c>
      <c r="H207" s="10" t="s">
        <v>272</v>
      </c>
    </row>
    <row r="208" customFormat="false" ht="15" hidden="false" customHeight="false" outlineLevel="0" collapsed="false">
      <c r="A208" s="11"/>
      <c r="B208" s="12" t="s">
        <v>273</v>
      </c>
      <c r="C208" s="11"/>
      <c r="D208" s="11"/>
      <c r="E208" s="11"/>
      <c r="F208" s="11"/>
      <c r="G208" s="13" t="n">
        <f aca="false">SUM(G206:G207)</f>
        <v>350</v>
      </c>
      <c r="H208" s="11"/>
    </row>
    <row r="210" customFormat="false" ht="16.15" hidden="false" customHeight="false" outlineLevel="0" collapsed="false">
      <c r="A210" s="14"/>
      <c r="B210" s="15" t="s">
        <v>274</v>
      </c>
      <c r="C210" s="14"/>
      <c r="D210" s="14"/>
      <c r="E210" s="14"/>
      <c r="F210" s="14"/>
      <c r="G210" s="16" t="n">
        <f aca="false">G18+G34+G45+G55+G64+G73+G79+G89+G96+G105+G113+G119+G124+G132+G153+G163+G170+G174+G178+G183+G187+G191+G203+G208</f>
        <v>21466.26</v>
      </c>
      <c r="H210" s="14"/>
    </row>
  </sheetData>
  <mergeCells count="26">
    <mergeCell ref="A1:H1"/>
    <mergeCell ref="A2:H2"/>
    <mergeCell ref="A5:H5"/>
    <mergeCell ref="A20:H20"/>
    <mergeCell ref="A36:H36"/>
    <mergeCell ref="A47:H47"/>
    <mergeCell ref="A57:H57"/>
    <mergeCell ref="A66:H66"/>
    <mergeCell ref="A75:H75"/>
    <mergeCell ref="A81:H81"/>
    <mergeCell ref="A91:H91"/>
    <mergeCell ref="A98:H98"/>
    <mergeCell ref="A107:H107"/>
    <mergeCell ref="A115:H115"/>
    <mergeCell ref="A121:H121"/>
    <mergeCell ref="A126:H126"/>
    <mergeCell ref="A134:H134"/>
    <mergeCell ref="A155:H155"/>
    <mergeCell ref="A165:H165"/>
    <mergeCell ref="A172:H172"/>
    <mergeCell ref="A176:H176"/>
    <mergeCell ref="A180:H180"/>
    <mergeCell ref="A185:H185"/>
    <mergeCell ref="A189:H189"/>
    <mergeCell ref="A193:H193"/>
    <mergeCell ref="A205:H2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7" t="s">
        <v>275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8" t="s">
        <v>276</v>
      </c>
    </row>
    <row r="4" customFormat="false" ht="15" hidden="false" customHeight="false" outlineLevel="0" collapsed="false">
      <c r="A4" s="18" t="s">
        <v>277</v>
      </c>
    </row>
    <row r="5" customFormat="false" ht="15" hidden="false" customHeight="false" outlineLevel="0" collapsed="false">
      <c r="A5" s="18" t="s">
        <v>278</v>
      </c>
    </row>
    <row r="6" customFormat="false" ht="15" hidden="false" customHeight="false" outlineLevel="0" collapsed="false">
      <c r="A6" s="18"/>
    </row>
    <row r="7" customFormat="false" ht="15" hidden="false" customHeight="false" outlineLevel="0" collapsed="false">
      <c r="A7" s="18" t="s">
        <v>279</v>
      </c>
    </row>
    <row r="8" customFormat="false" ht="15" hidden="false" customHeight="false" outlineLevel="0" collapsed="false">
      <c r="A8" s="18" t="s">
        <v>280</v>
      </c>
    </row>
    <row r="9" customFormat="false" ht="15" hidden="false" customHeight="false" outlineLevel="0" collapsed="false">
      <c r="A9" s="18" t="s">
        <v>281</v>
      </c>
    </row>
    <row r="10" customFormat="false" ht="15" hidden="false" customHeight="false" outlineLevel="0" collapsed="false">
      <c r="A10" s="18" t="s">
        <v>282</v>
      </c>
    </row>
    <row r="11" customFormat="false" ht="15" hidden="false" customHeight="false" outlineLevel="0" collapsed="false">
      <c r="A11" s="18" t="s">
        <v>283</v>
      </c>
    </row>
    <row r="12" customFormat="false" ht="15" hidden="false" customHeight="false" outlineLevel="0" collapsed="false">
      <c r="A12" s="18" t="s">
        <v>284</v>
      </c>
    </row>
    <row r="13" customFormat="false" ht="15" hidden="false" customHeight="false" outlineLevel="0" collapsed="false">
      <c r="A13" s="18" t="s">
        <v>285</v>
      </c>
    </row>
    <row r="14" customFormat="false" ht="15" hidden="false" customHeight="false" outlineLevel="0" collapsed="false">
      <c r="A14" s="18" t="s">
        <v>286</v>
      </c>
    </row>
    <row r="15" customFormat="false" ht="15" hidden="false" customHeight="false" outlineLevel="0" collapsed="false">
      <c r="A15" s="18" t="s">
        <v>287</v>
      </c>
    </row>
    <row r="16" customFormat="false" ht="15" hidden="false" customHeight="false" outlineLevel="0" collapsed="false">
      <c r="A16" s="18" t="s">
        <v>288</v>
      </c>
    </row>
    <row r="17" customFormat="false" ht="15" hidden="false" customHeight="false" outlineLevel="0" collapsed="false">
      <c r="A17" s="18" t="s">
        <v>289</v>
      </c>
    </row>
    <row r="18" customFormat="false" ht="15" hidden="false" customHeight="false" outlineLevel="0" collapsed="false">
      <c r="A18" s="18" t="s">
        <v>290</v>
      </c>
    </row>
    <row r="19" customFormat="false" ht="15" hidden="false" customHeight="false" outlineLevel="0" collapsed="false">
      <c r="A19" s="18"/>
    </row>
    <row r="20" customFormat="false" ht="15" hidden="false" customHeight="false" outlineLevel="0" collapsed="false">
      <c r="A20" s="18" t="s">
        <v>291</v>
      </c>
    </row>
    <row r="21" customFormat="false" ht="15" hidden="false" customHeight="false" outlineLevel="0" collapsed="false">
      <c r="A21" s="18" t="s">
        <v>292</v>
      </c>
    </row>
    <row r="22" customFormat="false" ht="15" hidden="false" customHeight="false" outlineLevel="0" collapsed="false">
      <c r="A22" s="18" t="s">
        <v>293</v>
      </c>
    </row>
    <row r="23" customFormat="false" ht="15" hidden="false" customHeight="false" outlineLevel="0" collapsed="false">
      <c r="A23" s="18" t="s">
        <v>294</v>
      </c>
    </row>
    <row r="24" customFormat="false" ht="15" hidden="false" customHeight="false" outlineLevel="0" collapsed="false">
      <c r="A24" s="18" t="s">
        <v>295</v>
      </c>
    </row>
    <row r="25" customFormat="false" ht="15" hidden="false" customHeight="false" outlineLevel="0" collapsed="false">
      <c r="A25" s="18" t="s">
        <v>296</v>
      </c>
    </row>
    <row r="26" customFormat="false" ht="15" hidden="false" customHeight="false" outlineLevel="0" collapsed="false">
      <c r="A26" s="18"/>
    </row>
    <row r="27" customFormat="false" ht="15" hidden="false" customHeight="false" outlineLevel="0" collapsed="false">
      <c r="A27" s="18" t="s">
        <v>297</v>
      </c>
    </row>
    <row r="28" customFormat="false" ht="15" hidden="false" customHeight="false" outlineLevel="0" collapsed="false">
      <c r="A28" s="18" t="s">
        <v>298</v>
      </c>
    </row>
    <row r="29" customFormat="false" ht="15" hidden="false" customHeight="false" outlineLevel="0" collapsed="false">
      <c r="A29" s="18" t="s">
        <v>299</v>
      </c>
    </row>
    <row r="30" customFormat="false" ht="15" hidden="false" customHeight="false" outlineLevel="0" collapsed="false">
      <c r="A30" s="18" t="s">
        <v>300</v>
      </c>
    </row>
    <row r="31" customFormat="false" ht="15" hidden="false" customHeight="false" outlineLevel="0" collapsed="false">
      <c r="A31" s="18" t="s">
        <v>301</v>
      </c>
    </row>
    <row r="32" customFormat="false" ht="15" hidden="false" customHeight="false" outlineLevel="0" collapsed="false">
      <c r="A32" s="18" t="s">
        <v>302</v>
      </c>
    </row>
    <row r="33" customFormat="false" ht="15" hidden="false" customHeight="false" outlineLevel="0" collapsed="false">
      <c r="A33" s="18" t="s">
        <v>303</v>
      </c>
    </row>
    <row r="34" customFormat="false" ht="15" hidden="false" customHeight="false" outlineLevel="0" collapsed="false">
      <c r="A34" s="18" t="s">
        <v>304</v>
      </c>
    </row>
    <row r="35" customFormat="false" ht="15" hidden="false" customHeight="false" outlineLevel="0" collapsed="false">
      <c r="A35" s="18" t="s">
        <v>305</v>
      </c>
    </row>
    <row r="36" customFormat="false" ht="15" hidden="false" customHeight="false" outlineLevel="0" collapsed="false">
      <c r="A36" s="18" t="s">
        <v>306</v>
      </c>
    </row>
    <row r="37" customFormat="false" ht="15" hidden="false" customHeight="false" outlineLevel="0" collapsed="false">
      <c r="A37" s="18" t="s">
        <v>307</v>
      </c>
    </row>
    <row r="38" customFormat="false" ht="15" hidden="false" customHeight="false" outlineLevel="0" collapsed="false">
      <c r="A38" s="18" t="s">
        <v>308</v>
      </c>
    </row>
    <row r="39" customFormat="false" ht="15" hidden="false" customHeight="false" outlineLevel="0" collapsed="false">
      <c r="A39" s="18"/>
    </row>
    <row r="40" customFormat="false" ht="15" hidden="false" customHeight="false" outlineLevel="0" collapsed="false">
      <c r="A40" s="18" t="s">
        <v>309</v>
      </c>
    </row>
    <row r="41" customFormat="false" ht="15" hidden="false" customHeight="false" outlineLevel="0" collapsed="false">
      <c r="A41" s="18" t="s">
        <v>310</v>
      </c>
    </row>
    <row r="42" customFormat="false" ht="15" hidden="false" customHeight="false" outlineLevel="0" collapsed="false">
      <c r="A42" s="18" t="s">
        <v>311</v>
      </c>
    </row>
    <row r="43" customFormat="false" ht="15" hidden="false" customHeight="false" outlineLevel="0" collapsed="false">
      <c r="A43" s="18" t="s">
        <v>312</v>
      </c>
    </row>
    <row r="44" customFormat="false" ht="15" hidden="false" customHeight="false" outlineLevel="0" collapsed="false">
      <c r="A44" s="18" t="s">
        <v>313</v>
      </c>
    </row>
    <row r="45" customFormat="false" ht="15" hidden="false" customHeight="false" outlineLevel="0" collapsed="false">
      <c r="A45" s="18" t="s">
        <v>314</v>
      </c>
    </row>
    <row r="46" customFormat="false" ht="15" hidden="false" customHeight="false" outlineLevel="0" collapsed="false">
      <c r="A46" s="18" t="s">
        <v>315</v>
      </c>
    </row>
    <row r="47" customFormat="false" ht="15" hidden="false" customHeight="false" outlineLevel="0" collapsed="false">
      <c r="A47" s="18" t="s">
        <v>316</v>
      </c>
    </row>
    <row r="48" customFormat="false" ht="15" hidden="false" customHeight="false" outlineLevel="0" collapsed="false">
      <c r="A48" s="18"/>
    </row>
    <row r="49" customFormat="false" ht="15" hidden="false" customHeight="false" outlineLevel="0" collapsed="false">
      <c r="A49" s="18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2026-09-19T20:32:41Z</dcterms:created>
  <dc:creator>openpyxl</dc:creator>
  <dc:description/>
  <dc:language>en-US</dc:language>
  <cp:lastModifiedBy/>
  <dcterms:modified xsi:type="dcterms:W3CDTF">2026-09-19T20:32:41Z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